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135" windowHeight="10093" tabRatio="600" firstSheet="0" activeTab="0" autoFilterDateGrouping="1"/>
  </bookViews>
  <sheets>
    <sheet name="Corrosion Observations" sheetId="1" state="visible" r:id="rId1"/>
    <sheet name="Guide" sheetId="2" state="visible" r:id="rId2"/>
    <sheet name="Lists" sheetId="3" state="hidden" r:id="rId3"/>
  </sheets>
  <definedNames>
    <definedName name="CorrosionMetalOptions">'Lists'!$H$2:$H$52</definedName>
    <definedName name="CorrosionExposureOptions">'Lists'!$I$2:$I$46</definedName>
    <definedName name="CorrosionMetricOptions">'Lists'!$J$2:$J$11</definedName>
    <definedName name="CorrosionUnitOptions">'Lists'!$K$2:$K$29</definedName>
    <definedName name="CorrosionUnits_blank">'Lists'!$L$2:$L$2</definedName>
    <definedName name="CorrosionUnits_penetration_rate">'Lists'!$M$2:$M$7</definedName>
    <definedName name="CorrosionUnits_mass_loss_rate">'Lists'!$N$2:$N$12</definedName>
    <definedName name="CorrosionUnits_cumulative_penetration">'Lists'!$O$2:$O$4</definedName>
    <definedName name="CorrosionUnits_cumulative_mass_loss">'Lists'!$P$2:$P$7</definedName>
    <definedName name="CorrosionUnits_maximum_pit_depth">'Lists'!$Q$2:$Q$4</definedName>
    <definedName name="CorrosionUnits_net_mass_change">'Lists'!$R$2:$R$7</definedName>
    <definedName name="CorrosionUnits_MCI">'Lists'!$S$2:$S$3</definedName>
    <definedName name="CorrosionUnits_Al_ACI">'Lists'!$T$2:$T$3</definedName>
    <definedName name="CorrosionUnits_ICI">'Lists'!$U$2:$U$3</definedName>
    <definedName name="CorrosionUnits_corrosion_rate">'Lists'!$V$2:$V$7</definedName>
    <definedName name="_xlnm._FilterDatabase" localSheetId="0" hidden="1">'Corrosion Observations'!$A$1:$T$20</definedName>
  </definedNames>
  <calcPr calcId="191029" calcMode="auto" fullCalcOnLoad="1" calcOnSave="1" forceFullCalc="1"/>
</workbook>
</file>

<file path=xl/styles.xml><?xml version="1.0" encoding="utf-8"?>
<styleSheet xmlns="http://schemas.openxmlformats.org/spreadsheetml/2006/main">
  <numFmts count="2">
    <numFmt numFmtId="164" formatCode="0.0000############"/>
    <numFmt numFmtId="165" formatCode="0.000"/>
  </numFmts>
  <fonts count="8">
    <font>
      <name val="Calibri"/>
      <family val="2"/>
      <color theme="1"/>
      <sz val="11"/>
      <scheme val="minor"/>
    </font>
    <font>
      <b val="1"/>
      <color rgb="00FFFFFF"/>
      <sz val="16"/>
    </font>
    <font>
      <b val="1"/>
      <color rgb="0017365D"/>
      <sz val="12"/>
    </font>
    <font>
      <b val="1"/>
    </font>
    <font>
      <b val="1"/>
      <color rgb="0017365D"/>
    </font>
    <font>
      <b val="1"/>
      <color rgb="00548235"/>
      <sz val="14"/>
    </font>
    <font>
      <b val="1"/>
      <color rgb="00FFFFFF"/>
    </font>
    <font>
      <b val="1"/>
      <color rgb="00375623"/>
    </font>
  </fonts>
  <fills count="14">
    <fill>
      <patternFill/>
    </fill>
    <fill>
      <patternFill patternType="gray125"/>
    </fill>
    <fill>
      <patternFill patternType="solid">
        <fgColor rgb="0017365D"/>
      </patternFill>
    </fill>
    <fill>
      <patternFill patternType="solid">
        <fgColor rgb="00D9EAF7"/>
      </patternFill>
    </fill>
    <fill>
      <patternFill patternType="solid">
        <fgColor rgb="00FFF2CC"/>
      </patternFill>
    </fill>
    <fill>
      <patternFill patternType="solid">
        <fgColor rgb="00E7E6E6"/>
      </patternFill>
    </fill>
    <fill>
      <patternFill patternType="solid">
        <fgColor rgb="00E2F0D9"/>
      </patternFill>
    </fill>
    <fill>
      <patternFill patternType="solid">
        <fgColor rgb="00F4CCCC"/>
      </patternFill>
    </fill>
    <fill>
      <patternFill patternType="solid">
        <fgColor rgb="004472C4"/>
      </patternFill>
    </fill>
    <fill>
      <patternFill patternType="solid">
        <fgColor rgb="00BF9000"/>
      </patternFill>
    </fill>
    <fill>
      <patternFill patternType="solid">
        <fgColor rgb="007F8C8D"/>
      </patternFill>
    </fill>
    <fill>
      <patternFill patternType="solid">
        <fgColor rgb="00548235"/>
      </patternFill>
    </fill>
    <fill>
      <patternFill patternType="solid">
        <fgColor rgb="007030A0"/>
      </patternFill>
    </fill>
    <fill>
      <patternFill patternType="solid">
        <fgColor rgb="00EAF2F8"/>
      </patternFill>
    </fill>
  </fills>
  <borders count="4">
    <border>
      <left/>
      <right/>
      <top/>
      <bottom/>
      <diagonal/>
    </border>
    <border>
      <bottom style="thin">
        <color rgb="00FFFFFF"/>
      </bottom>
    </border>
    <border>
      <bottom style="thin">
        <color rgb="00D9E1F2"/>
      </bottom>
    </border>
    <border>
      <top style="medium">
        <color rgb="004472C4"/>
      </top>
      <bottom style="thin">
        <color rgb="00D9E1F2"/>
      </bottom>
    </border>
  </borders>
  <cellStyleXfs count="1">
    <xf numFmtId="0" fontId="0" fillId="0" borderId="0"/>
  </cellStyleXfs>
  <cellXfs count="45">
    <xf numFmtId="0" fontId="0" fillId="0" borderId="0" pivotButton="0" quotePrefix="0" xfId="0"/>
    <xf numFmtId="0" fontId="6" fillId="8" borderId="1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 vertical="center" wrapText="1"/>
    </xf>
    <xf numFmtId="0" fontId="6" fillId="10" borderId="1" applyAlignment="1" pivotButton="0" quotePrefix="0" xfId="0">
      <alignment horizontal="center" vertical="center" wrapText="1"/>
    </xf>
    <xf numFmtId="0" fontId="6" fillId="11" borderId="1" applyAlignment="1" pivotButton="0" quotePrefix="0" xfId="0">
      <alignment horizontal="center" vertical="center" wrapText="1"/>
    </xf>
    <xf numFmtId="0" fontId="6" fillId="12" borderId="1" applyAlignment="1" pivotButton="0" quotePrefix="0" xfId="0">
      <alignment horizontal="center" vertical="center" wrapText="1"/>
    </xf>
    <xf numFmtId="0" fontId="4" fillId="6" borderId="3" applyAlignment="1" pivotButton="0" quotePrefix="0" xfId="0">
      <alignment vertical="top"/>
    </xf>
    <xf numFmtId="0" fontId="4" fillId="6" borderId="3" applyAlignment="1" pivotButton="0" quotePrefix="0" xfId="0">
      <alignment vertical="top" wrapText="1"/>
    </xf>
    <xf numFmtId="0" fontId="4" fillId="6" borderId="3" applyAlignment="1" pivotButton="0" quotePrefix="0" xfId="0">
      <alignment horizontal="left" vertical="top"/>
    </xf>
    <xf numFmtId="0" fontId="0" fillId="6" borderId="3" applyAlignment="1" pivotButton="0" quotePrefix="0" xfId="0">
      <alignment horizontal="left" vertical="top" indent="4"/>
    </xf>
    <xf numFmtId="0" fontId="0" fillId="6" borderId="3" applyAlignment="1" pivotButton="0" quotePrefix="0" xfId="0">
      <alignment vertical="top"/>
    </xf>
    <xf numFmtId="49" fontId="0" fillId="6" borderId="3" applyAlignment="1" pivotButton="0" quotePrefix="0" xfId="0">
      <alignment vertical="top"/>
    </xf>
    <xf numFmtId="164" fontId="0" fillId="6" borderId="3" applyAlignment="1" pivotButton="0" quotePrefix="0" xfId="0">
      <alignment horizontal="right" vertical="top"/>
    </xf>
    <xf numFmtId="164" fontId="0" fillId="5" borderId="3" applyAlignment="1" pivotButton="0" quotePrefix="0" xfId="0">
      <alignment horizontal="right" vertical="top"/>
    </xf>
    <xf numFmtId="165" fontId="7" fillId="5" borderId="3" applyAlignment="1" pivotButton="0" quotePrefix="0" xfId="0">
      <alignment horizontal="right" vertical="top"/>
    </xf>
    <xf numFmtId="0" fontId="0" fillId="5" borderId="3" applyAlignment="1" pivotButton="0" quotePrefix="0" xfId="0">
      <alignment vertical="top" wrapText="1"/>
    </xf>
    <xf numFmtId="0" fontId="0" fillId="6" borderId="3" applyAlignment="1" pivotButton="0" quotePrefix="0" xfId="0">
      <alignment vertical="top" wrapText="1"/>
    </xf>
    <xf numFmtId="0" fontId="0" fillId="13" borderId="2" applyAlignment="1" pivotButton="0" quotePrefix="0" xfId="0">
      <alignment vertical="top"/>
    </xf>
    <xf numFmtId="0" fontId="0" fillId="13" borderId="2" applyAlignment="1" pivotButton="0" quotePrefix="0" xfId="0">
      <alignment vertical="top" wrapText="1"/>
    </xf>
    <xf numFmtId="0" fontId="0" fillId="13" borderId="2" applyAlignment="1" pivotButton="0" quotePrefix="0" xfId="0">
      <alignment horizontal="left" vertical="top"/>
    </xf>
    <xf numFmtId="0" fontId="0" fillId="4" borderId="2" applyAlignment="1" pivotButton="0" quotePrefix="0" xfId="0">
      <alignment horizontal="left" vertical="top" indent="4"/>
    </xf>
    <xf numFmtId="0" fontId="0" fillId="4" borderId="2" applyAlignment="1" pivotButton="0" quotePrefix="0" xfId="0">
      <alignment vertical="top"/>
    </xf>
    <xf numFmtId="49" fontId="0" fillId="4" borderId="2" applyAlignment="1" pivotButton="0" quotePrefix="0" xfId="0">
      <alignment vertical="top"/>
    </xf>
    <xf numFmtId="164" fontId="0" fillId="4" borderId="2" applyAlignment="1" pivotButton="0" quotePrefix="0" xfId="0">
      <alignment horizontal="right" vertical="top"/>
    </xf>
    <xf numFmtId="164" fontId="0" fillId="5" borderId="2" applyAlignment="1" pivotButton="0" quotePrefix="0" xfId="0">
      <alignment horizontal="right" vertical="top"/>
    </xf>
    <xf numFmtId="165" fontId="7" fillId="5" borderId="2" applyAlignment="1" pivotButton="0" quotePrefix="0" xfId="0">
      <alignment horizontal="right" vertical="top"/>
    </xf>
    <xf numFmtId="0" fontId="0" fillId="5" borderId="2" applyAlignment="1" pivotButton="0" quotePrefix="0" xfId="0">
      <alignment vertical="top" wrapText="1"/>
    </xf>
    <xf numFmtId="0" fontId="0" fillId="4" borderId="2" applyAlignment="1" pivotButton="0" quotePrefix="0" xfId="0">
      <alignment vertical="top" wrapText="1"/>
    </xf>
    <xf numFmtId="0" fontId="0" fillId="6" borderId="2" applyAlignment="1" pivotButton="0" quotePrefix="0" xfId="0">
      <alignment vertical="top"/>
    </xf>
    <xf numFmtId="0" fontId="0" fillId="6" borderId="2" applyAlignment="1" pivotButton="0" quotePrefix="0" xfId="0">
      <alignment vertical="top" wrapText="1"/>
    </xf>
    <xf numFmtId="0" fontId="7" fillId="6" borderId="2" applyAlignment="1" pivotButton="0" quotePrefix="0" xfId="0">
      <alignment horizontal="left" vertical="top"/>
    </xf>
    <xf numFmtId="0" fontId="0" fillId="6" borderId="2" applyAlignment="1" pivotButton="0" quotePrefix="0" xfId="0">
      <alignment horizontal="left" vertical="top" indent="4"/>
    </xf>
    <xf numFmtId="49" fontId="0" fillId="6" borderId="2" applyAlignment="1" pivotButton="0" quotePrefix="0" xfId="0">
      <alignment vertical="top"/>
    </xf>
    <xf numFmtId="164" fontId="0" fillId="6" borderId="2" applyAlignment="1" pivotButton="0" quotePrefix="0" xfId="0">
      <alignment horizontal="right" vertical="top"/>
    </xf>
    <xf numFmtId="0" fontId="1" fillId="2" borderId="0" applyAlignment="1" pivotButton="0" quotePrefix="0" xfId="0">
      <alignment vertical="center"/>
    </xf>
    <xf numFmtId="0" fontId="2" fillId="0" borderId="0" pivotButton="0" quotePrefix="0" xfId="0"/>
    <xf numFmtId="0" fontId="0" fillId="0" borderId="0" applyAlignment="1" pivotButton="0" quotePrefix="0" xfId="0">
      <alignment vertical="top" wrapText="1"/>
    </xf>
    <xf numFmtId="0" fontId="3" fillId="3" borderId="0" pivotButton="0" quotePrefix="0" xfId="0"/>
    <xf numFmtId="0" fontId="3" fillId="4" borderId="0" pivotButton="0" quotePrefix="0" xfId="0"/>
    <xf numFmtId="0" fontId="3" fillId="5" borderId="0" pivotButton="0" quotePrefix="0" xfId="0"/>
    <xf numFmtId="0" fontId="3" fillId="6" borderId="0" pivotButton="0" quotePrefix="0" xfId="0"/>
    <xf numFmtId="0" fontId="3" fillId="7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6" borderId="0" pivotButton="0" quotePrefix="0" xfId="0"/>
  </cellXfs>
  <cellStyles count="1">
    <cellStyle name="Normal" xfId="0" builtinId="0"/>
  </cellStyles>
  <dxfs count="2">
    <dxf>
      <fill>
        <patternFill patternType="solid">
          <fgColor rgb="00F4CCCC"/>
        </patternFill>
      </fill>
    </dxf>
    <dxf>
      <fill>
        <patternFill patternType="solid">
          <fgColor rgb="00FCE4D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omments/comment1.xml><?xml version="1.0" encoding="utf-8"?>
<comments xmlns="http://schemas.openxmlformats.org/spreadsheetml/2006/main">
  <authors>
    <author>Corrosion Atlas</author>
  </authors>
  <commentList>
    <comment ref="F1" authorId="0" shapeId="0">
      <text>
        <t>Existing observations carry a database ID. Leave blank for new observations.</t>
      </text>
    </comment>
    <comment ref="G1" authorId="0" shapeId="0">
      <text>
        <t>Choose a metal/material already known to the curator database.</t>
      </text>
    </comment>
    <comment ref="H1" authorId="0" shapeId="0">
      <text>
        <t>Optional. Enter the exposure duration exactly as reported by the source. Leave blank when the source does not report a duration. A duration is required only to annualize cumulative corrosion quantities.</t>
      </text>
    </comment>
    <comment ref="I1" authorId="0" shapeId="0">
      <text>
        <t>Optional calendar start of exposure. Stored as text using YYYY, YYYY-MM, or YYYY-MM-DD. Use only the precision explicitly reported by the source.</t>
      </text>
    </comment>
    <comment ref="J1" authorId="0" shapeId="0">
      <text>
        <t>Optional calendar end of exposure. Stored as text using YYYY, YYYY-MM, or YYYY-MM-DD. Use only the precision explicitly reported by the source.</t>
      </text>
    </comment>
    <comment ref="K1" authorId="0" shapeId="0">
      <text>
        <t>Select the physical quantity actually reported by the source.</t>
      </text>
    </comment>
    <comment ref="L1" authorId="0" shapeId="0">
      <text>
        <t>Enter the numerical value exactly as reported by the source.</t>
      </text>
    </comment>
    <comment ref="M1" authorId="0" shapeId="0">
      <text>
        <t>Choose the unit actually reported by the source. Only approved units are accepted during import.</t>
      </text>
    </comment>
    <comment ref="N1" authorId="0" shapeId="0">
      <text>
        <t>Automatically looked up from the material when a generic density is available.</t>
      </text>
    </comment>
    <comment ref="O1" authorId="0" shapeId="0">
      <text>
        <t>Optional. Use only when a source-specific or alloy-specific density should replace the default.</t>
      </text>
    </comment>
    <comment ref="P1" authorId="0" shapeId="0">
      <text>
        <t>Calculated from the override when supplied; otherwise from the default density.</t>
      </text>
    </comment>
    <comment ref="Q1" authorId="0" shapeId="0">
      <text>
        <t>Canonical general corrosion thickness-loss rate in µm/year. Calculated from the reported value, exposure duration and density where required. The curator app recalculates this on import.</t>
      </text>
    </comment>
    <comment ref="R1" authorId="0" shapeId="0">
      <text>
        <t>Canonical general corrosion mass-loss rate in g/m²/year. Calculated from the reported value, exposure duration and density where required. The curator app recalculates this on import.</t>
      </text>
    </comment>
    <comment ref="S1" authorId="0" shapeId="0">
      <text>
        <t>Explains how the reported observation was converted to the canonical corrosion rate, or why conversion is not valid.</t>
      </text>
    </comment>
  </commentList>
</comment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tabColor rgb="0017365D"/>
    <outlinePr summaryBelow="1" summaryRight="1"/>
    <pageSetUpPr/>
  </sheetPr>
  <dimension ref="A1:W20"/>
  <sheetViews>
    <sheetView showGridLines="0" tabSelected="1" showOutlineSymbols="0" topLeftCell="A1" zoomScale="90" zoomScaleNormal="90" workbookViewId="0">
      <pane ySplit="1" topLeftCell="A2" activePane="bottomLeft" state="frozen"/>
      <selection pane="bottomLeft" activeCell="A1" sqref="A1"/>
    </sheetView>
  </sheetViews>
  <sheetFormatPr baseColWidth="8" defaultRowHeight="15.05" outlineLevelRow="0"/>
  <cols>
    <col width="12" customWidth="1" min="1" max="1"/>
    <col hidden="1" width="30" customWidth="1" min="2" max="2"/>
    <col width="12" customWidth="1" min="3" max="3"/>
    <col width="24" customWidth="1" min="4" max="4"/>
    <col width="18" customWidth="1" min="5" max="5"/>
    <col width="18" customWidth="1" min="6" max="6"/>
    <col width="24" customWidth="1" min="7" max="7"/>
    <col width="17" customWidth="1" min="8" max="8"/>
    <col width="16" customWidth="1" min="9" max="9"/>
    <col width="16" customWidth="1" min="10" max="10"/>
    <col width="25" customWidth="1" min="11" max="11"/>
    <col width="15" customWidth="1" min="12" max="12"/>
    <col width="18" customWidth="1" min="13" max="13"/>
    <col hidden="1" width="18" customWidth="1" min="14" max="14"/>
    <col hidden="1" width="19" customWidth="1" min="15" max="15"/>
    <col width="22" customWidth="1" min="16" max="16"/>
    <col width="29" customWidth="1" min="17" max="17"/>
    <col width="29" customWidth="1" min="18" max="18"/>
    <col width="46" customWidth="1" min="19" max="19"/>
    <col width="36" customWidth="1" min="20" max="20"/>
    <col hidden="1" width="13" customWidth="1" min="21" max="21"/>
    <col hidden="1" width="13" customWidth="1" min="22" max="22"/>
    <col hidden="1" width="13" customWidth="1" min="23" max="23"/>
  </cols>
  <sheetData>
    <row r="1" ht="46" customHeight="1">
      <c r="A1" s="1" t="inlineStr">
        <is>
          <t>source_code</t>
        </is>
      </c>
      <c r="B1" s="1" t="inlineStr">
        <is>
          <t>source_title</t>
        </is>
      </c>
      <c r="C1" s="1" t="inlineStr">
        <is>
          <t>site_id</t>
        </is>
      </c>
      <c r="D1" s="1" t="inlineStr">
        <is>
          <t>site_label</t>
        </is>
      </c>
      <c r="E1" s="1" t="inlineStr">
        <is>
          <t>country</t>
        </is>
      </c>
      <c r="F1" s="1" t="inlineStr">
        <is>
          <t>observation_id</t>
        </is>
      </c>
      <c r="G1" s="2" t="inlineStr">
        <is>
          <t>material</t>
        </is>
      </c>
      <c r="H1" s="2" t="inlineStr">
        <is>
          <t>exposure_period</t>
        </is>
      </c>
      <c r="I1" s="2" t="inlineStr">
        <is>
          <t>exposure_start</t>
        </is>
      </c>
      <c r="J1" s="2" t="inlineStr">
        <is>
          <t>exposure_end</t>
        </is>
      </c>
      <c r="K1" s="2" t="inlineStr">
        <is>
          <t>corrosion_metric</t>
        </is>
      </c>
      <c r="L1" s="2" t="inlineStr">
        <is>
          <t>reported_value</t>
        </is>
      </c>
      <c r="M1" s="2" t="inlineStr">
        <is>
          <t>reported_unit</t>
        </is>
      </c>
      <c r="N1" s="3" t="inlineStr">
        <is>
          <t>default_density_g_cm3</t>
        </is>
      </c>
      <c r="O1" s="3" t="inlineStr">
        <is>
          <t>density_override_g_cm3</t>
        </is>
      </c>
      <c r="P1" s="3" t="inlineStr">
        <is>
          <t>density_used_g_cm3</t>
        </is>
      </c>
      <c r="Q1" s="4" t="inlineStr">
        <is>
          <t>canonical_thickness_loss_rate_um_year</t>
        </is>
      </c>
      <c r="R1" s="4" t="inlineStr">
        <is>
          <t>canonical_mass_loss_rate_g_m2_year</t>
        </is>
      </c>
      <c r="S1" s="5" t="inlineStr">
        <is>
          <t>normalization_note</t>
        </is>
      </c>
      <c r="T1" s="5" t="inlineStr">
        <is>
          <t>notes</t>
        </is>
      </c>
      <c r="U1" s="5" t="n"/>
      <c r="V1" s="5" t="inlineStr">
        <is>
          <t>__unit_factor</t>
        </is>
      </c>
      <c r="W1" s="5" t="inlineStr">
        <is>
          <t>__exposure_years</t>
        </is>
      </c>
    </row>
    <row r="2">
      <c r="A2" s="6" t="inlineStr">
        <is>
          <t>s021</t>
        </is>
      </c>
      <c r="B2" s="7" t="inlineStr">
        <is>
          <t>Assessing Atmospheric Corrosivity in Antarctica</t>
        </is>
      </c>
      <c r="C2" s="6" t="inlineStr">
        <is>
          <t>SE-007</t>
        </is>
      </c>
      <c r="D2" s="7" t="inlineStr">
        <is>
          <t>Abisko</t>
        </is>
      </c>
      <c r="E2" s="6" t="inlineStr">
        <is>
          <t>Sweden</t>
        </is>
      </c>
      <c r="F2" s="8" t="n">
        <v>1</v>
      </c>
      <c r="G2" s="9" t="inlineStr">
        <is>
          <t>Ingot iron</t>
        </is>
      </c>
      <c r="H2" s="10" t="inlineStr">
        <is>
          <t>1 year</t>
        </is>
      </c>
      <c r="I2" s="11" t="inlineStr"/>
      <c r="J2" s="11" t="inlineStr"/>
      <c r="K2" s="10" t="inlineStr">
        <is>
          <t>corrosion_rate</t>
        </is>
      </c>
      <c r="L2" s="12" t="n">
        <v>5.1</v>
      </c>
      <c r="M2" s="10" t="inlineStr">
        <is>
          <t>µm/year</t>
        </is>
      </c>
      <c r="N2" s="13">
        <f>IF(G2="","",IFERROR(VLOOKUP(G2,'Lists'!$E$2:$F$18,2,FALSE),""))</f>
        <v/>
      </c>
      <c r="O2" s="12" t="inlineStr"/>
      <c r="P2" s="13">
        <f>IF(O2&lt;&gt;"",O2,N2)</f>
        <v/>
      </c>
      <c r="Q2" s="14">
        <f>IF(OR(K2="",L2="",M2=""),"",IF(OR(K2="penetration_rate",K2="corrosion_rate"),IF(V2="","",L2*V2),IF(K2="mass_loss_rate",IF(OR(V2="",P2=""),"",L2*V2/P2),IF(K2="cumulative_penetration",IF(OR(V2="",W2=""),"",L2*V2/W2),IF(K2="cumulative_mass_loss",IF(OR(V2="",P2="",W2=""),"",L2*V2/P2/W2),"")))))</f>
        <v/>
      </c>
      <c r="R2" s="14">
        <f>IF(OR(K2="",L2="",M2=""),"",IF(OR(K2="penetration_rate",K2="corrosion_rate"),IF(OR(V2="",P2=""),"",L2*V2*P2),IF(K2="mass_loss_rate",IF(V2="","",L2*V2),IF(K2="cumulative_penetration",IF(OR(V2="",P2="",W2=""),"",L2*V2*P2/W2),IF(K2="cumulative_mass_loss",IF(OR(V2="",W2=""),"",L2*V2/W2),"")))))</f>
        <v/>
      </c>
      <c r="S2" s="15">
        <f>IF(OR(K2="",L2="",M2=""),"",IF(OR(K2="maximum_pit_depth",K2="net_mass_change",K2="MCI",K2="Al-ACI",K2="ICI"),"Not converted to canonical general-corrosion rates",IF(AND(H2="",OR(K2="cumulative_penetration",K2="cumulative_mass_loss")),"Exposure period not reported — cumulative value preserved; annual canonical rates unavailable",IF(AND(Q2&lt;&gt;"",R2&lt;&gt;""),"Both canonical rates calculated",IF(Q2&lt;&gt;"","Thickness-loss rate calculated; mass-loss rate unavailable",IF(R2&lt;&gt;"","Mass-loss rate calculated; thickness-loss rate unavailable","Canonical rates not calculated — check metric, unit, exposure duration, or density"))))))</f>
        <v/>
      </c>
      <c r="T2" s="16" t="inlineStr"/>
      <c r="V2">
        <f>IF(OR(K2="",M2=""),"",IFERROR(VLOOKUP(K2&amp;"|"&amp;M2,'Lists'!$A$2:$C$48,3,FALSE),""))</f>
        <v/>
      </c>
      <c r="W2">
        <f>IF(H2="","",IFERROR(VALUE(LEFT(TRIM(H2),FIND(" ",TRIM(H2)&amp;" ")-1))*IF(OR(ISNUMBER(SEARCH("year",LOWER(H2))),ISNUMBER(SEARCH(" yr",LOWER(H2))),RIGHT(LOWER(TRIM(H2)),1)="y"),1,IF(OR(ISNUMBER(SEARCH("month",LOWER(H2))),ISNUMBER(SEARCH(" mo",LOWER(H2)))),1/12,IF(OR(ISNUMBER(SEARCH("week",LOWER(H2))),ISNUMBER(SEARCH(" wk",LOWER(H2)))),7/365.25,IF(OR(ISNUMBER(SEARCH("day",LOWER(H2))),RIGHT(LOWER(TRIM(H2)),1)="d"),1/365.25,"")))),""))</f>
        <v/>
      </c>
    </row>
    <row r="3">
      <c r="A3" s="17" t="inlineStr">
        <is>
          <t>s021</t>
        </is>
      </c>
      <c r="B3" s="18" t="inlineStr">
        <is>
          <t>Assessing Atmospheric Corrosivity in Antarctica</t>
        </is>
      </c>
      <c r="C3" s="17" t="inlineStr">
        <is>
          <t>SE-007</t>
        </is>
      </c>
      <c r="D3" s="18" t="inlineStr">
        <is>
          <t>Abisko</t>
        </is>
      </c>
      <c r="E3" s="17" t="inlineStr">
        <is>
          <t>Sweden</t>
        </is>
      </c>
      <c r="F3" s="19" t="inlineStr"/>
      <c r="G3" s="20" t="inlineStr"/>
      <c r="H3" s="21" t="inlineStr"/>
      <c r="I3" s="22" t="inlineStr"/>
      <c r="J3" s="22" t="inlineStr"/>
      <c r="K3" s="21" t="inlineStr"/>
      <c r="L3" s="23" t="inlineStr"/>
      <c r="M3" s="21" t="inlineStr"/>
      <c r="N3" s="24">
        <f>IF(G3="","",IFERROR(VLOOKUP(G3,'Lists'!$E$2:$F$18,2,FALSE),""))</f>
        <v/>
      </c>
      <c r="O3" s="23" t="inlineStr"/>
      <c r="P3" s="24">
        <f>IF(O3&lt;&gt;"",O3,N3)</f>
        <v/>
      </c>
      <c r="Q3" s="25">
        <f>IF(OR(K3="",L3="",M3=""),"",IF(OR(K3="penetration_rate",K3="corrosion_rate"),IF(V3="","",L3*V3),IF(K3="mass_loss_rate",IF(OR(V3="",P3=""),"",L3*V3/P3),IF(K3="cumulative_penetration",IF(OR(V3="",W3=""),"",L3*V3/W3),IF(K3="cumulative_mass_loss",IF(OR(V3="",P3="",W3=""),"",L3*V3/P3/W3),"")))))</f>
        <v/>
      </c>
      <c r="R3" s="25">
        <f>IF(OR(K3="",L3="",M3=""),"",IF(OR(K3="penetration_rate",K3="corrosion_rate"),IF(OR(V3="",P3=""),"",L3*V3*P3),IF(K3="mass_loss_rate",IF(V3="","",L3*V3),IF(K3="cumulative_penetration",IF(OR(V3="",P3="",W3=""),"",L3*V3*P3/W3),IF(K3="cumulative_mass_loss",IF(OR(V3="",W3=""),"",L3*V3/W3),"")))))</f>
        <v/>
      </c>
      <c r="S3" s="26">
        <f>IF(OR(K3="",L3="",M3=""),"",IF(OR(K3="maximum_pit_depth",K3="net_mass_change",K3="MCI",K3="Al-ACI",K3="ICI"),"Not converted to canonical general-corrosion rates",IF(AND(H3="",OR(K3="cumulative_penetration",K3="cumulative_mass_loss")),"Exposure period not reported — cumulative value preserved; annual canonical rates unavailable",IF(AND(Q3&lt;&gt;"",R3&lt;&gt;""),"Both canonical rates calculated",IF(Q3&lt;&gt;"","Thickness-loss rate calculated; mass-loss rate unavailable",IF(R3&lt;&gt;"","Mass-loss rate calculated; thickness-loss rate unavailable","Canonical rates not calculated — check metric, unit, exposure duration, or density"))))))</f>
        <v/>
      </c>
      <c r="T3" s="27" t="inlineStr"/>
      <c r="V3">
        <f>IF(OR(K3="",M3=""),"",IFERROR(VLOOKUP(K3&amp;"|"&amp;M3,'Lists'!$A$2:$C$48,3,FALSE),""))</f>
        <v/>
      </c>
      <c r="W3">
        <f>IF(H3="","",IFERROR(VALUE(LEFT(TRIM(H3),FIND(" ",TRIM(H3)&amp;" ")-1))*IF(OR(ISNUMBER(SEARCH("year",LOWER(H3))),ISNUMBER(SEARCH(" yr",LOWER(H3))),RIGHT(LOWER(TRIM(H3)),1)="y"),1,IF(OR(ISNUMBER(SEARCH("month",LOWER(H3))),ISNUMBER(SEARCH(" mo",LOWER(H3)))),1/12,IF(OR(ISNUMBER(SEARCH("week",LOWER(H3))),ISNUMBER(SEARCH(" wk",LOWER(H3)))),7/365.25,IF(OR(ISNUMBER(SEARCH("day",LOWER(H3))),RIGHT(LOWER(TRIM(H3)),1)="d"),1/365.25,"")))),""))</f>
        <v/>
      </c>
    </row>
    <row r="4">
      <c r="A4" s="6" t="inlineStr">
        <is>
          <t>s021</t>
        </is>
      </c>
      <c r="B4" s="7" t="inlineStr">
        <is>
          <t>Assessing Atmospheric Corrosivity in Antarctica</t>
        </is>
      </c>
      <c r="C4" s="6" t="inlineStr">
        <is>
          <t>SD-001</t>
        </is>
      </c>
      <c r="D4" s="7" t="inlineStr">
        <is>
          <t>Khartoum</t>
        </is>
      </c>
      <c r="E4" s="6" t="inlineStr">
        <is>
          <t>Sudan</t>
        </is>
      </c>
      <c r="F4" s="8" t="n">
        <v>2</v>
      </c>
      <c r="G4" s="9" t="inlineStr">
        <is>
          <t>Ingot iron</t>
        </is>
      </c>
      <c r="H4" s="10" t="inlineStr">
        <is>
          <t>1 year</t>
        </is>
      </c>
      <c r="I4" s="11" t="inlineStr"/>
      <c r="J4" s="11" t="inlineStr"/>
      <c r="K4" s="10" t="inlineStr">
        <is>
          <t>corrosion_rate</t>
        </is>
      </c>
      <c r="L4" s="12" t="n">
        <v>2.5</v>
      </c>
      <c r="M4" s="10" t="inlineStr">
        <is>
          <t>µm/year</t>
        </is>
      </c>
      <c r="N4" s="13">
        <f>IF(G4="","",IFERROR(VLOOKUP(G4,'Lists'!$E$2:$F$18,2,FALSE),""))</f>
        <v/>
      </c>
      <c r="O4" s="12" t="inlineStr"/>
      <c r="P4" s="13">
        <f>IF(O4&lt;&gt;"",O4,N4)</f>
        <v/>
      </c>
      <c r="Q4" s="14">
        <f>IF(OR(K4="",L4="",M4=""),"",IF(OR(K4="penetration_rate",K4="corrosion_rate"),IF(V4="","",L4*V4),IF(K4="mass_loss_rate",IF(OR(V4="",P4=""),"",L4*V4/P4),IF(K4="cumulative_penetration",IF(OR(V4="",W4=""),"",L4*V4/W4),IF(K4="cumulative_mass_loss",IF(OR(V4="",P4="",W4=""),"",L4*V4/P4/W4),"")))))</f>
        <v/>
      </c>
      <c r="R4" s="14">
        <f>IF(OR(K4="",L4="",M4=""),"",IF(OR(K4="penetration_rate",K4="corrosion_rate"),IF(OR(V4="",P4=""),"",L4*V4*P4),IF(K4="mass_loss_rate",IF(V4="","",L4*V4),IF(K4="cumulative_penetration",IF(OR(V4="",P4="",W4=""),"",L4*V4*P4/W4),IF(K4="cumulative_mass_loss",IF(OR(V4="",W4=""),"",L4*V4/W4),"")))))</f>
        <v/>
      </c>
      <c r="S4" s="15">
        <f>IF(OR(K4="",L4="",M4=""),"",IF(OR(K4="maximum_pit_depth",K4="net_mass_change",K4="MCI",K4="Al-ACI",K4="ICI"),"Not converted to canonical general-corrosion rates",IF(AND(H4="",OR(K4="cumulative_penetration",K4="cumulative_mass_loss")),"Exposure period not reported — cumulative value preserved; annual canonical rates unavailable",IF(AND(Q4&lt;&gt;"",R4&lt;&gt;""),"Both canonical rates calculated",IF(Q4&lt;&gt;"","Thickness-loss rate calculated; mass-loss rate unavailable",IF(R4&lt;&gt;"","Mass-loss rate calculated; thickness-loss rate unavailable","Canonical rates not calculated — check metric, unit, exposure duration, or density"))))))</f>
        <v/>
      </c>
      <c r="T4" s="16" t="inlineStr"/>
      <c r="V4">
        <f>IF(OR(K4="",M4=""),"",IFERROR(VLOOKUP(K4&amp;"|"&amp;M4,'Lists'!$A$2:$C$48,3,FALSE),""))</f>
        <v/>
      </c>
      <c r="W4">
        <f>IF(H4="","",IFERROR(VALUE(LEFT(TRIM(H4),FIND(" ",TRIM(H4)&amp;" ")-1))*IF(OR(ISNUMBER(SEARCH("year",LOWER(H4))),ISNUMBER(SEARCH(" yr",LOWER(H4))),RIGHT(LOWER(TRIM(H4)),1)="y"),1,IF(OR(ISNUMBER(SEARCH("month",LOWER(H4))),ISNUMBER(SEARCH(" mo",LOWER(H4)))),1/12,IF(OR(ISNUMBER(SEARCH("week",LOWER(H4))),ISNUMBER(SEARCH(" wk",LOWER(H4)))),7/365.25,IF(OR(ISNUMBER(SEARCH("day",LOWER(H4))),RIGHT(LOWER(TRIM(H4)),1)="d"),1/365.25,"")))),""))</f>
        <v/>
      </c>
    </row>
    <row r="5">
      <c r="A5" s="17" t="inlineStr">
        <is>
          <t>s021</t>
        </is>
      </c>
      <c r="B5" s="18" t="inlineStr">
        <is>
          <t>Assessing Atmospheric Corrosivity in Antarctica</t>
        </is>
      </c>
      <c r="C5" s="17" t="inlineStr">
        <is>
          <t>SD-001</t>
        </is>
      </c>
      <c r="D5" s="18" t="inlineStr">
        <is>
          <t>Khartoum</t>
        </is>
      </c>
      <c r="E5" s="17" t="inlineStr">
        <is>
          <t>Sudan</t>
        </is>
      </c>
      <c r="F5" s="19" t="inlineStr"/>
      <c r="G5" s="20" t="inlineStr"/>
      <c r="H5" s="21" t="inlineStr"/>
      <c r="I5" s="22" t="inlineStr"/>
      <c r="J5" s="22" t="inlineStr"/>
      <c r="K5" s="21" t="inlineStr"/>
      <c r="L5" s="23" t="inlineStr"/>
      <c r="M5" s="21" t="inlineStr"/>
      <c r="N5" s="24">
        <f>IF(G5="","",IFERROR(VLOOKUP(G5,'Lists'!$E$2:$F$18,2,FALSE),""))</f>
        <v/>
      </c>
      <c r="O5" s="23" t="inlineStr"/>
      <c r="P5" s="24">
        <f>IF(O5&lt;&gt;"",O5,N5)</f>
        <v/>
      </c>
      <c r="Q5" s="25">
        <f>IF(OR(K5="",L5="",M5=""),"",IF(OR(K5="penetration_rate",K5="corrosion_rate"),IF(V5="","",L5*V5),IF(K5="mass_loss_rate",IF(OR(V5="",P5=""),"",L5*V5/P5),IF(K5="cumulative_penetration",IF(OR(V5="",W5=""),"",L5*V5/W5),IF(K5="cumulative_mass_loss",IF(OR(V5="",P5="",W5=""),"",L5*V5/P5/W5),"")))))</f>
        <v/>
      </c>
      <c r="R5" s="25">
        <f>IF(OR(K5="",L5="",M5=""),"",IF(OR(K5="penetration_rate",K5="corrosion_rate"),IF(OR(V5="",P5=""),"",L5*V5*P5),IF(K5="mass_loss_rate",IF(V5="","",L5*V5),IF(K5="cumulative_penetration",IF(OR(V5="",P5="",W5=""),"",L5*V5*P5/W5),IF(K5="cumulative_mass_loss",IF(OR(V5="",W5=""),"",L5*V5/W5),"")))))</f>
        <v/>
      </c>
      <c r="S5" s="26">
        <f>IF(OR(K5="",L5="",M5=""),"",IF(OR(K5="maximum_pit_depth",K5="net_mass_change",K5="MCI",K5="Al-ACI",K5="ICI"),"Not converted to canonical general-corrosion rates",IF(AND(H5="",OR(K5="cumulative_penetration",K5="cumulative_mass_loss")),"Exposure period not reported — cumulative value preserved; annual canonical rates unavailable",IF(AND(Q5&lt;&gt;"",R5&lt;&gt;""),"Both canonical rates calculated",IF(Q5&lt;&gt;"","Thickness-loss rate calculated; mass-loss rate unavailable",IF(R5&lt;&gt;"","Mass-loss rate calculated; thickness-loss rate unavailable","Canonical rates not calculated — check metric, unit, exposure duration, or density"))))))</f>
        <v/>
      </c>
      <c r="T5" s="27" t="inlineStr"/>
      <c r="V5">
        <f>IF(OR(K5="",M5=""),"",IFERROR(VLOOKUP(K5&amp;"|"&amp;M5,'Lists'!$A$2:$C$48,3,FALSE),""))</f>
        <v/>
      </c>
      <c r="W5">
        <f>IF(H5="","",IFERROR(VALUE(LEFT(TRIM(H5),FIND(" ",TRIM(H5)&amp;" ")-1))*IF(OR(ISNUMBER(SEARCH("year",LOWER(H5))),ISNUMBER(SEARCH(" yr",LOWER(H5))),RIGHT(LOWER(TRIM(H5)),1)="y"),1,IF(OR(ISNUMBER(SEARCH("month",LOWER(H5))),ISNUMBER(SEARCH(" mo",LOWER(H5)))),1/12,IF(OR(ISNUMBER(SEARCH("week",LOWER(H5))),ISNUMBER(SEARCH(" wk",LOWER(H5)))),7/365.25,IF(OR(ISNUMBER(SEARCH("day",LOWER(H5))),RIGHT(LOWER(TRIM(H5)),1)="d"),1/365.25,"")))),""))</f>
        <v/>
      </c>
    </row>
    <row r="6">
      <c r="A6" s="6" t="inlineStr">
        <is>
          <t>s021</t>
        </is>
      </c>
      <c r="B6" s="7" t="inlineStr">
        <is>
          <t>Assessing Atmospheric Corrosivity in Antarctica</t>
        </is>
      </c>
      <c r="C6" s="6" t="inlineStr">
        <is>
          <t>AU-001</t>
        </is>
      </c>
      <c r="D6" s="7" t="inlineStr">
        <is>
          <t>Mt Newman</t>
        </is>
      </c>
      <c r="E6" s="6" t="inlineStr">
        <is>
          <t>Australia</t>
        </is>
      </c>
      <c r="F6" s="8" t="n">
        <v>3</v>
      </c>
      <c r="G6" s="9" t="inlineStr">
        <is>
          <t>Carbon steel</t>
        </is>
      </c>
      <c r="H6" s="10" t="inlineStr">
        <is>
          <t>1 year</t>
        </is>
      </c>
      <c r="I6" s="11" t="inlineStr"/>
      <c r="J6" s="11" t="inlineStr"/>
      <c r="K6" s="10" t="inlineStr">
        <is>
          <t>corrosion_rate</t>
        </is>
      </c>
      <c r="L6" s="12" t="n">
        <v>3</v>
      </c>
      <c r="M6" s="10" t="inlineStr">
        <is>
          <t>µm/year</t>
        </is>
      </c>
      <c r="N6" s="13">
        <f>IF(G6="","",IFERROR(VLOOKUP(G6,'Lists'!$E$2:$F$18,2,FALSE),""))</f>
        <v/>
      </c>
      <c r="O6" s="12" t="inlineStr"/>
      <c r="P6" s="13">
        <f>IF(O6&lt;&gt;"",O6,N6)</f>
        <v/>
      </c>
      <c r="Q6" s="14">
        <f>IF(OR(K6="",L6="",M6=""),"",IF(OR(K6="penetration_rate",K6="corrosion_rate"),IF(V6="","",L6*V6),IF(K6="mass_loss_rate",IF(OR(V6="",P6=""),"",L6*V6/P6),IF(K6="cumulative_penetration",IF(OR(V6="",W6=""),"",L6*V6/W6),IF(K6="cumulative_mass_loss",IF(OR(V6="",P6="",W6=""),"",L6*V6/P6/W6),"")))))</f>
        <v/>
      </c>
      <c r="R6" s="14">
        <f>IF(OR(K6="",L6="",M6=""),"",IF(OR(K6="penetration_rate",K6="corrosion_rate"),IF(OR(V6="",P6=""),"",L6*V6*P6),IF(K6="mass_loss_rate",IF(V6="","",L6*V6),IF(K6="cumulative_penetration",IF(OR(V6="",P6="",W6=""),"",L6*V6*P6/W6),IF(K6="cumulative_mass_loss",IF(OR(V6="",W6=""),"",L6*V6/W6),"")))))</f>
        <v/>
      </c>
      <c r="S6" s="15">
        <f>IF(OR(K6="",L6="",M6=""),"",IF(OR(K6="maximum_pit_depth",K6="net_mass_change",K6="MCI",K6="Al-ACI",K6="ICI"),"Not converted to canonical general-corrosion rates",IF(AND(H6="",OR(K6="cumulative_penetration",K6="cumulative_mass_loss")),"Exposure period not reported — cumulative value preserved; annual canonical rates unavailable",IF(AND(Q6&lt;&gt;"",R6&lt;&gt;""),"Both canonical rates calculated",IF(Q6&lt;&gt;"","Thickness-loss rate calculated; mass-loss rate unavailable",IF(R6&lt;&gt;"","Mass-loss rate calculated; thickness-loss rate unavailable","Canonical rates not calculated — check metric, unit, exposure duration, or density"))))))</f>
        <v/>
      </c>
      <c r="T6" s="16" t="inlineStr"/>
      <c r="V6">
        <f>IF(OR(K6="",M6=""),"",IFERROR(VLOOKUP(K6&amp;"|"&amp;M6,'Lists'!$A$2:$C$48,3,FALSE),""))</f>
        <v/>
      </c>
      <c r="W6">
        <f>IF(H6="","",IFERROR(VALUE(LEFT(TRIM(H6),FIND(" ",TRIM(H6)&amp;" ")-1))*IF(OR(ISNUMBER(SEARCH("year",LOWER(H6))),ISNUMBER(SEARCH(" yr",LOWER(H6))),RIGHT(LOWER(TRIM(H6)),1)="y"),1,IF(OR(ISNUMBER(SEARCH("month",LOWER(H6))),ISNUMBER(SEARCH(" mo",LOWER(H6)))),1/12,IF(OR(ISNUMBER(SEARCH("week",LOWER(H6))),ISNUMBER(SEARCH(" wk",LOWER(H6)))),7/365.25,IF(OR(ISNUMBER(SEARCH("day",LOWER(H6))),RIGHT(LOWER(TRIM(H6)),1)="d"),1/365.25,"")))),""))</f>
        <v/>
      </c>
    </row>
    <row r="7">
      <c r="A7" s="28" t="inlineStr">
        <is>
          <t>s021</t>
        </is>
      </c>
      <c r="B7" s="29" t="inlineStr">
        <is>
          <t>Assessing Atmospheric Corrosivity in Antarctica</t>
        </is>
      </c>
      <c r="C7" s="28" t="inlineStr">
        <is>
          <t>AU-001</t>
        </is>
      </c>
      <c r="D7" s="29" t="inlineStr">
        <is>
          <t>Mt Newman</t>
        </is>
      </c>
      <c r="E7" s="28" t="inlineStr">
        <is>
          <t>Australia</t>
        </is>
      </c>
      <c r="F7" s="30" t="n">
        <v>4</v>
      </c>
      <c r="G7" s="31" t="inlineStr">
        <is>
          <t>Carbon steel</t>
        </is>
      </c>
      <c r="H7" s="28" t="inlineStr">
        <is>
          <t>2 years</t>
        </is>
      </c>
      <c r="I7" s="32" t="inlineStr"/>
      <c r="J7" s="32" t="inlineStr"/>
      <c r="K7" s="28" t="inlineStr">
        <is>
          <t>corrosion_rate</t>
        </is>
      </c>
      <c r="L7" s="33" t="n">
        <v>2</v>
      </c>
      <c r="M7" s="28" t="inlineStr">
        <is>
          <t>µm/year</t>
        </is>
      </c>
      <c r="N7" s="24">
        <f>IF(G7="","",IFERROR(VLOOKUP(G7,'Lists'!$E$2:$F$18,2,FALSE),""))</f>
        <v/>
      </c>
      <c r="O7" s="33" t="inlineStr"/>
      <c r="P7" s="24">
        <f>IF(O7&lt;&gt;"",O7,N7)</f>
        <v/>
      </c>
      <c r="Q7" s="25">
        <f>IF(OR(K7="",L7="",M7=""),"",IF(OR(K7="penetration_rate",K7="corrosion_rate"),IF(V7="","",L7*V7),IF(K7="mass_loss_rate",IF(OR(V7="",P7=""),"",L7*V7/P7),IF(K7="cumulative_penetration",IF(OR(V7="",W7=""),"",L7*V7/W7),IF(K7="cumulative_mass_loss",IF(OR(V7="",P7="",W7=""),"",L7*V7/P7/W7),"")))))</f>
        <v/>
      </c>
      <c r="R7" s="25">
        <f>IF(OR(K7="",L7="",M7=""),"",IF(OR(K7="penetration_rate",K7="corrosion_rate"),IF(OR(V7="",P7=""),"",L7*V7*P7),IF(K7="mass_loss_rate",IF(V7="","",L7*V7),IF(K7="cumulative_penetration",IF(OR(V7="",P7="",W7=""),"",L7*V7*P7/W7),IF(K7="cumulative_mass_loss",IF(OR(V7="",W7=""),"",L7*V7/W7),"")))))</f>
        <v/>
      </c>
      <c r="S7" s="26">
        <f>IF(OR(K7="",L7="",M7=""),"",IF(OR(K7="maximum_pit_depth",K7="net_mass_change",K7="MCI",K7="Al-ACI",K7="ICI"),"Not converted to canonical general-corrosion rates",IF(AND(H7="",OR(K7="cumulative_penetration",K7="cumulative_mass_loss")),"Exposure period not reported — cumulative value preserved; annual canonical rates unavailable",IF(AND(Q7&lt;&gt;"",R7&lt;&gt;""),"Both canonical rates calculated",IF(Q7&lt;&gt;"","Thickness-loss rate calculated; mass-loss rate unavailable",IF(R7&lt;&gt;"","Mass-loss rate calculated; thickness-loss rate unavailable","Canonical rates not calculated — check metric, unit, exposure duration, or density"))))))</f>
        <v/>
      </c>
      <c r="T7" s="29" t="inlineStr"/>
      <c r="V7">
        <f>IF(OR(K7="",M7=""),"",IFERROR(VLOOKUP(K7&amp;"|"&amp;M7,'Lists'!$A$2:$C$48,3,FALSE),""))</f>
        <v/>
      </c>
      <c r="W7">
        <f>IF(H7="","",IFERROR(VALUE(LEFT(TRIM(H7),FIND(" ",TRIM(H7)&amp;" ")-1))*IF(OR(ISNUMBER(SEARCH("year",LOWER(H7))),ISNUMBER(SEARCH(" yr",LOWER(H7))),RIGHT(LOWER(TRIM(H7)),1)="y"),1,IF(OR(ISNUMBER(SEARCH("month",LOWER(H7))),ISNUMBER(SEARCH(" mo",LOWER(H7)))),1/12,IF(OR(ISNUMBER(SEARCH("week",LOWER(H7))),ISNUMBER(SEARCH(" wk",LOWER(H7)))),7/365.25,IF(OR(ISNUMBER(SEARCH("day",LOWER(H7))),RIGHT(LOWER(TRIM(H7)),1)="d"),1/365.25,"")))),""))</f>
        <v/>
      </c>
    </row>
    <row r="8">
      <c r="A8" s="28" t="inlineStr">
        <is>
          <t>s021</t>
        </is>
      </c>
      <c r="B8" s="29" t="inlineStr">
        <is>
          <t>Assessing Atmospheric Corrosivity in Antarctica</t>
        </is>
      </c>
      <c r="C8" s="28" t="inlineStr">
        <is>
          <t>AU-001</t>
        </is>
      </c>
      <c r="D8" s="29" t="inlineStr">
        <is>
          <t>Mt Newman</t>
        </is>
      </c>
      <c r="E8" s="28" t="inlineStr">
        <is>
          <t>Australia</t>
        </is>
      </c>
      <c r="F8" s="30" t="n">
        <v>5</v>
      </c>
      <c r="G8" s="31" t="inlineStr">
        <is>
          <t>Carbon steel</t>
        </is>
      </c>
      <c r="H8" s="28" t="inlineStr">
        <is>
          <t>3 years</t>
        </is>
      </c>
      <c r="I8" s="32" t="inlineStr"/>
      <c r="J8" s="32" t="inlineStr"/>
      <c r="K8" s="28" t="inlineStr">
        <is>
          <t>corrosion_rate</t>
        </is>
      </c>
      <c r="L8" s="33" t="n">
        <v>1</v>
      </c>
      <c r="M8" s="28" t="inlineStr">
        <is>
          <t>µm/year</t>
        </is>
      </c>
      <c r="N8" s="24">
        <f>IF(G8="","",IFERROR(VLOOKUP(G8,'Lists'!$E$2:$F$18,2,FALSE),""))</f>
        <v/>
      </c>
      <c r="O8" s="33" t="inlineStr"/>
      <c r="P8" s="24">
        <f>IF(O8&lt;&gt;"",O8,N8)</f>
        <v/>
      </c>
      <c r="Q8" s="25">
        <f>IF(OR(K8="",L8="",M8=""),"",IF(OR(K8="penetration_rate",K8="corrosion_rate"),IF(V8="","",L8*V8),IF(K8="mass_loss_rate",IF(OR(V8="",P8=""),"",L8*V8/P8),IF(K8="cumulative_penetration",IF(OR(V8="",W8=""),"",L8*V8/W8),IF(K8="cumulative_mass_loss",IF(OR(V8="",P8="",W8=""),"",L8*V8/P8/W8),"")))))</f>
        <v/>
      </c>
      <c r="R8" s="25">
        <f>IF(OR(K8="",L8="",M8=""),"",IF(OR(K8="penetration_rate",K8="corrosion_rate"),IF(OR(V8="",P8=""),"",L8*V8*P8),IF(K8="mass_loss_rate",IF(V8="","",L8*V8),IF(K8="cumulative_penetration",IF(OR(V8="",P8="",W8=""),"",L8*V8*P8/W8),IF(K8="cumulative_mass_loss",IF(OR(V8="",W8=""),"",L8*V8/W8),"")))))</f>
        <v/>
      </c>
      <c r="S8" s="26">
        <f>IF(OR(K8="",L8="",M8=""),"",IF(OR(K8="maximum_pit_depth",K8="net_mass_change",K8="MCI",K8="Al-ACI",K8="ICI"),"Not converted to canonical general-corrosion rates",IF(AND(H8="",OR(K8="cumulative_penetration",K8="cumulative_mass_loss")),"Exposure period not reported — cumulative value preserved; annual canonical rates unavailable",IF(AND(Q8&lt;&gt;"",R8&lt;&gt;""),"Both canonical rates calculated",IF(Q8&lt;&gt;"","Thickness-loss rate calculated; mass-loss rate unavailable",IF(R8&lt;&gt;"","Mass-loss rate calculated; thickness-loss rate unavailable","Canonical rates not calculated — check metric, unit, exposure duration, or density"))))))</f>
        <v/>
      </c>
      <c r="T8" s="29" t="inlineStr"/>
      <c r="V8">
        <f>IF(OR(K8="",M8=""),"",IFERROR(VLOOKUP(K8&amp;"|"&amp;M8,'Lists'!$A$2:$C$48,3,FALSE),""))</f>
        <v/>
      </c>
      <c r="W8">
        <f>IF(H8="","",IFERROR(VALUE(LEFT(TRIM(H8),FIND(" ",TRIM(H8)&amp;" ")-1))*IF(OR(ISNUMBER(SEARCH("year",LOWER(H8))),ISNUMBER(SEARCH(" yr",LOWER(H8))),RIGHT(LOWER(TRIM(H8)),1)="y"),1,IF(OR(ISNUMBER(SEARCH("month",LOWER(H8))),ISNUMBER(SEARCH(" mo",LOWER(H8)))),1/12,IF(OR(ISNUMBER(SEARCH("week",LOWER(H8))),ISNUMBER(SEARCH(" wk",LOWER(H8)))),7/365.25,IF(OR(ISNUMBER(SEARCH("day",LOWER(H8))),RIGHT(LOWER(TRIM(H8)),1)="d"),1/365.25,"")))),""))</f>
        <v/>
      </c>
    </row>
    <row r="9">
      <c r="A9" s="17" t="inlineStr">
        <is>
          <t>s021</t>
        </is>
      </c>
      <c r="B9" s="18" t="inlineStr">
        <is>
          <t>Assessing Atmospheric Corrosivity in Antarctica</t>
        </is>
      </c>
      <c r="C9" s="17" t="inlineStr">
        <is>
          <t>AU-001</t>
        </is>
      </c>
      <c r="D9" s="18" t="inlineStr">
        <is>
          <t>Mt Newman</t>
        </is>
      </c>
      <c r="E9" s="17" t="inlineStr">
        <is>
          <t>Australia</t>
        </is>
      </c>
      <c r="F9" s="19" t="inlineStr"/>
      <c r="G9" s="20" t="inlineStr"/>
      <c r="H9" s="21" t="inlineStr"/>
      <c r="I9" s="22" t="inlineStr"/>
      <c r="J9" s="22" t="inlineStr"/>
      <c r="K9" s="21" t="inlineStr"/>
      <c r="L9" s="23" t="inlineStr"/>
      <c r="M9" s="21" t="inlineStr"/>
      <c r="N9" s="24">
        <f>IF(G9="","",IFERROR(VLOOKUP(G9,'Lists'!$E$2:$F$18,2,FALSE),""))</f>
        <v/>
      </c>
      <c r="O9" s="23" t="inlineStr"/>
      <c r="P9" s="24">
        <f>IF(O9&lt;&gt;"",O9,N9)</f>
        <v/>
      </c>
      <c r="Q9" s="25">
        <f>IF(OR(K9="",L9="",M9=""),"",IF(OR(K9="penetration_rate",K9="corrosion_rate"),IF(V9="","",L9*V9),IF(K9="mass_loss_rate",IF(OR(V9="",P9=""),"",L9*V9/P9),IF(K9="cumulative_penetration",IF(OR(V9="",W9=""),"",L9*V9/W9),IF(K9="cumulative_mass_loss",IF(OR(V9="",P9="",W9=""),"",L9*V9/P9/W9),"")))))</f>
        <v/>
      </c>
      <c r="R9" s="25">
        <f>IF(OR(K9="",L9="",M9=""),"",IF(OR(K9="penetration_rate",K9="corrosion_rate"),IF(OR(V9="",P9=""),"",L9*V9*P9),IF(K9="mass_loss_rate",IF(V9="","",L9*V9),IF(K9="cumulative_penetration",IF(OR(V9="",P9="",W9=""),"",L9*V9*P9/W9),IF(K9="cumulative_mass_loss",IF(OR(V9="",W9=""),"",L9*V9/W9),"")))))</f>
        <v/>
      </c>
      <c r="S9" s="26">
        <f>IF(OR(K9="",L9="",M9=""),"",IF(OR(K9="maximum_pit_depth",K9="net_mass_change",K9="MCI",K9="Al-ACI",K9="ICI"),"Not converted to canonical general-corrosion rates",IF(AND(H9="",OR(K9="cumulative_penetration",K9="cumulative_mass_loss")),"Exposure period not reported — cumulative value preserved; annual canonical rates unavailable",IF(AND(Q9&lt;&gt;"",R9&lt;&gt;""),"Both canonical rates calculated",IF(Q9&lt;&gt;"","Thickness-loss rate calculated; mass-loss rate unavailable",IF(R9&lt;&gt;"","Mass-loss rate calculated; thickness-loss rate unavailable","Canonical rates not calculated — check metric, unit, exposure duration, or density"))))))</f>
        <v/>
      </c>
      <c r="T9" s="27" t="inlineStr"/>
      <c r="V9">
        <f>IF(OR(K9="",M9=""),"",IFERROR(VLOOKUP(K9&amp;"|"&amp;M9,'Lists'!$A$2:$C$48,3,FALSE),""))</f>
        <v/>
      </c>
      <c r="W9">
        <f>IF(H9="","",IFERROR(VALUE(LEFT(TRIM(H9),FIND(" ",TRIM(H9)&amp;" ")-1))*IF(OR(ISNUMBER(SEARCH("year",LOWER(H9))),ISNUMBER(SEARCH(" yr",LOWER(H9))),RIGHT(LOWER(TRIM(H9)),1)="y"),1,IF(OR(ISNUMBER(SEARCH("month",LOWER(H9))),ISNUMBER(SEARCH(" mo",LOWER(H9)))),1/12,IF(OR(ISNUMBER(SEARCH("week",LOWER(H9))),ISNUMBER(SEARCH(" wk",LOWER(H9)))),7/365.25,IF(OR(ISNUMBER(SEARCH("day",LOWER(H9))),RIGHT(LOWER(TRIM(H9)),1)="d"),1/365.25,"")))),""))</f>
        <v/>
      </c>
    </row>
    <row r="10">
      <c r="A10" s="6" t="inlineStr">
        <is>
          <t>s021</t>
        </is>
      </c>
      <c r="B10" s="7" t="inlineStr">
        <is>
          <t>Assessing Atmospheric Corrosivity in Antarctica</t>
        </is>
      </c>
      <c r="C10" s="6" t="inlineStr">
        <is>
          <t>CA-003</t>
        </is>
      </c>
      <c r="D10" s="7" t="inlineStr">
        <is>
          <t>Norman Wells</t>
        </is>
      </c>
      <c r="E10" s="6" t="inlineStr">
        <is>
          <t>Canada</t>
        </is>
      </c>
      <c r="F10" s="8" t="n">
        <v>6</v>
      </c>
      <c r="G10" s="9" t="inlineStr">
        <is>
          <t>Low-alloy steel</t>
        </is>
      </c>
      <c r="H10" s="10" t="inlineStr">
        <is>
          <t>1 year</t>
        </is>
      </c>
      <c r="I10" s="11" t="inlineStr"/>
      <c r="J10" s="11" t="inlineStr"/>
      <c r="K10" s="10" t="inlineStr">
        <is>
          <t>corrosion_rate</t>
        </is>
      </c>
      <c r="L10" s="12" t="n">
        <v>0.7</v>
      </c>
      <c r="M10" s="10" t="inlineStr">
        <is>
          <t>µm/year</t>
        </is>
      </c>
      <c r="N10" s="13">
        <f>IF(G10="","",IFERROR(VLOOKUP(G10,'Lists'!$E$2:$F$18,2,FALSE),""))</f>
        <v/>
      </c>
      <c r="O10" s="12" t="inlineStr"/>
      <c r="P10" s="13">
        <f>IF(O10&lt;&gt;"",O10,N10)</f>
        <v/>
      </c>
      <c r="Q10" s="14">
        <f>IF(OR(K10="",L10="",M10=""),"",IF(OR(K10="penetration_rate",K10="corrosion_rate"),IF(V10="","",L10*V10),IF(K10="mass_loss_rate",IF(OR(V10="",P10=""),"",L10*V10/P10),IF(K10="cumulative_penetration",IF(OR(V10="",W10=""),"",L10*V10/W10),IF(K10="cumulative_mass_loss",IF(OR(V10="",P10="",W10=""),"",L10*V10/P10/W10),"")))))</f>
        <v/>
      </c>
      <c r="R10" s="14">
        <f>IF(OR(K10="",L10="",M10=""),"",IF(OR(K10="penetration_rate",K10="corrosion_rate"),IF(OR(V10="",P10=""),"",L10*V10*P10),IF(K10="mass_loss_rate",IF(V10="","",L10*V10),IF(K10="cumulative_penetration",IF(OR(V10="",P10="",W10=""),"",L10*V10*P10/W10),IF(K10="cumulative_mass_loss",IF(OR(V10="",W10=""),"",L10*V10/W10),"")))))</f>
        <v/>
      </c>
      <c r="S10" s="15">
        <f>IF(OR(K10="",L10="",M10=""),"",IF(OR(K10="maximum_pit_depth",K10="net_mass_change",K10="MCI",K10="Al-ACI",K10="ICI"),"Not converted to canonical general-corrosion rates",IF(AND(H10="",OR(K10="cumulative_penetration",K10="cumulative_mass_loss")),"Exposure period not reported — cumulative value preserved; annual canonical rates unavailable",IF(AND(Q10&lt;&gt;"",R10&lt;&gt;""),"Both canonical rates calculated",IF(Q10&lt;&gt;"","Thickness-loss rate calculated; mass-loss rate unavailable",IF(R10&lt;&gt;"","Mass-loss rate calculated; thickness-loss rate unavailable","Canonical rates not calculated — check metric, unit, exposure duration, or density"))))))</f>
        <v/>
      </c>
      <c r="T10" s="16" t="inlineStr"/>
      <c r="V10">
        <f>IF(OR(K10="",M10=""),"",IFERROR(VLOOKUP(K10&amp;"|"&amp;M10,'Lists'!$A$2:$C$48,3,FALSE),""))</f>
        <v/>
      </c>
      <c r="W10">
        <f>IF(H10="","",IFERROR(VALUE(LEFT(TRIM(H10),FIND(" ",TRIM(H10)&amp;" ")-1))*IF(OR(ISNUMBER(SEARCH("year",LOWER(H10))),ISNUMBER(SEARCH(" yr",LOWER(H10))),RIGHT(LOWER(TRIM(H10)),1)="y"),1,IF(OR(ISNUMBER(SEARCH("month",LOWER(H10))),ISNUMBER(SEARCH(" mo",LOWER(H10)))),1/12,IF(OR(ISNUMBER(SEARCH("week",LOWER(H10))),ISNUMBER(SEARCH(" wk",LOWER(H10)))),7/365.25,IF(OR(ISNUMBER(SEARCH("day",LOWER(H10))),RIGHT(LOWER(TRIM(H10)),1)="d"),1/365.25,"")))),""))</f>
        <v/>
      </c>
    </row>
    <row r="11">
      <c r="A11" s="28" t="inlineStr">
        <is>
          <t>s021</t>
        </is>
      </c>
      <c r="B11" s="29" t="inlineStr">
        <is>
          <t>Assessing Atmospheric Corrosivity in Antarctica</t>
        </is>
      </c>
      <c r="C11" s="28" t="inlineStr">
        <is>
          <t>CA-003</t>
        </is>
      </c>
      <c r="D11" s="29" t="inlineStr">
        <is>
          <t>Norman Wells</t>
        </is>
      </c>
      <c r="E11" s="28" t="inlineStr">
        <is>
          <t>Canada</t>
        </is>
      </c>
      <c r="F11" s="30" t="n">
        <v>7</v>
      </c>
      <c r="G11" s="31" t="inlineStr">
        <is>
          <t>Low-alloy steel</t>
        </is>
      </c>
      <c r="H11" s="28" t="inlineStr">
        <is>
          <t>2 years</t>
        </is>
      </c>
      <c r="I11" s="32" t="inlineStr"/>
      <c r="J11" s="32" t="inlineStr"/>
      <c r="K11" s="28" t="inlineStr">
        <is>
          <t>corrosion_rate</t>
        </is>
      </c>
      <c r="L11" s="33" t="n">
        <v>1.2</v>
      </c>
      <c r="M11" s="28" t="inlineStr">
        <is>
          <t>µm/year</t>
        </is>
      </c>
      <c r="N11" s="24">
        <f>IF(G11="","",IFERROR(VLOOKUP(G11,'Lists'!$E$2:$F$18,2,FALSE),""))</f>
        <v/>
      </c>
      <c r="O11" s="33" t="inlineStr"/>
      <c r="P11" s="24">
        <f>IF(O11&lt;&gt;"",O11,N11)</f>
        <v/>
      </c>
      <c r="Q11" s="25">
        <f>IF(OR(K11="",L11="",M11=""),"",IF(OR(K11="penetration_rate",K11="corrosion_rate"),IF(V11="","",L11*V11),IF(K11="mass_loss_rate",IF(OR(V11="",P11=""),"",L11*V11/P11),IF(K11="cumulative_penetration",IF(OR(V11="",W11=""),"",L11*V11/W11),IF(K11="cumulative_mass_loss",IF(OR(V11="",P11="",W11=""),"",L11*V11/P11/W11),"")))))</f>
        <v/>
      </c>
      <c r="R11" s="25">
        <f>IF(OR(K11="",L11="",M11=""),"",IF(OR(K11="penetration_rate",K11="corrosion_rate"),IF(OR(V11="",P11=""),"",L11*V11*P11),IF(K11="mass_loss_rate",IF(V11="","",L11*V11),IF(K11="cumulative_penetration",IF(OR(V11="",P11="",W11=""),"",L11*V11*P11/W11),IF(K11="cumulative_mass_loss",IF(OR(V11="",W11=""),"",L11*V11/W11),"")))))</f>
        <v/>
      </c>
      <c r="S11" s="26">
        <f>IF(OR(K11="",L11="",M11=""),"",IF(OR(K11="maximum_pit_depth",K11="net_mass_change",K11="MCI",K11="Al-ACI",K11="ICI"),"Not converted to canonical general-corrosion rates",IF(AND(H11="",OR(K11="cumulative_penetration",K11="cumulative_mass_loss")),"Exposure period not reported — cumulative value preserved; annual canonical rates unavailable",IF(AND(Q11&lt;&gt;"",R11&lt;&gt;""),"Both canonical rates calculated",IF(Q11&lt;&gt;"","Thickness-loss rate calculated; mass-loss rate unavailable",IF(R11&lt;&gt;"","Mass-loss rate calculated; thickness-loss rate unavailable","Canonical rates not calculated — check metric, unit, exposure duration, or density"))))))</f>
        <v/>
      </c>
      <c r="T11" s="29" t="inlineStr"/>
      <c r="V11">
        <f>IF(OR(K11="",M11=""),"",IFERROR(VLOOKUP(K11&amp;"|"&amp;M11,'Lists'!$A$2:$C$48,3,FALSE),""))</f>
        <v/>
      </c>
      <c r="W11">
        <f>IF(H11="","",IFERROR(VALUE(LEFT(TRIM(H11),FIND(" ",TRIM(H11)&amp;" ")-1))*IF(OR(ISNUMBER(SEARCH("year",LOWER(H11))),ISNUMBER(SEARCH(" yr",LOWER(H11))),RIGHT(LOWER(TRIM(H11)),1)="y"),1,IF(OR(ISNUMBER(SEARCH("month",LOWER(H11))),ISNUMBER(SEARCH(" mo",LOWER(H11)))),1/12,IF(OR(ISNUMBER(SEARCH("week",LOWER(H11))),ISNUMBER(SEARCH(" wk",LOWER(H11)))),7/365.25,IF(OR(ISNUMBER(SEARCH("day",LOWER(H11))),RIGHT(LOWER(TRIM(H11)),1)="d"),1/365.25,"")))),""))</f>
        <v/>
      </c>
    </row>
    <row r="12">
      <c r="A12" s="17" t="inlineStr">
        <is>
          <t>s021</t>
        </is>
      </c>
      <c r="B12" s="18" t="inlineStr">
        <is>
          <t>Assessing Atmospheric Corrosivity in Antarctica</t>
        </is>
      </c>
      <c r="C12" s="17" t="inlineStr">
        <is>
          <t>CA-003</t>
        </is>
      </c>
      <c r="D12" s="18" t="inlineStr">
        <is>
          <t>Norman Wells</t>
        </is>
      </c>
      <c r="E12" s="17" t="inlineStr">
        <is>
          <t>Canada</t>
        </is>
      </c>
      <c r="F12" s="19" t="inlineStr"/>
      <c r="G12" s="20" t="inlineStr"/>
      <c r="H12" s="21" t="inlineStr"/>
      <c r="I12" s="22" t="inlineStr"/>
      <c r="J12" s="22" t="inlineStr"/>
      <c r="K12" s="21" t="inlineStr"/>
      <c r="L12" s="23" t="inlineStr"/>
      <c r="M12" s="21" t="inlineStr"/>
      <c r="N12" s="24">
        <f>IF(G12="","",IFERROR(VLOOKUP(G12,'Lists'!$E$2:$F$18,2,FALSE),""))</f>
        <v/>
      </c>
      <c r="O12" s="23" t="inlineStr"/>
      <c r="P12" s="24">
        <f>IF(O12&lt;&gt;"",O12,N12)</f>
        <v/>
      </c>
      <c r="Q12" s="25">
        <f>IF(OR(K12="",L12="",M12=""),"",IF(OR(K12="penetration_rate",K12="corrosion_rate"),IF(V12="","",L12*V12),IF(K12="mass_loss_rate",IF(OR(V12="",P12=""),"",L12*V12/P12),IF(K12="cumulative_penetration",IF(OR(V12="",W12=""),"",L12*V12/W12),IF(K12="cumulative_mass_loss",IF(OR(V12="",P12="",W12=""),"",L12*V12/P12/W12),"")))))</f>
        <v/>
      </c>
      <c r="R12" s="25">
        <f>IF(OR(K12="",L12="",M12=""),"",IF(OR(K12="penetration_rate",K12="corrosion_rate"),IF(OR(V12="",P12=""),"",L12*V12*P12),IF(K12="mass_loss_rate",IF(V12="","",L12*V12),IF(K12="cumulative_penetration",IF(OR(V12="",P12="",W12=""),"",L12*V12*P12/W12),IF(K12="cumulative_mass_loss",IF(OR(V12="",W12=""),"",L12*V12/W12),"")))))</f>
        <v/>
      </c>
      <c r="S12" s="26">
        <f>IF(OR(K12="",L12="",M12=""),"",IF(OR(K12="maximum_pit_depth",K12="net_mass_change",K12="MCI",K12="Al-ACI",K12="ICI"),"Not converted to canonical general-corrosion rates",IF(AND(H12="",OR(K12="cumulative_penetration",K12="cumulative_mass_loss")),"Exposure period not reported — cumulative value preserved; annual canonical rates unavailable",IF(AND(Q12&lt;&gt;"",R12&lt;&gt;""),"Both canonical rates calculated",IF(Q12&lt;&gt;"","Thickness-loss rate calculated; mass-loss rate unavailable",IF(R12&lt;&gt;"","Mass-loss rate calculated; thickness-loss rate unavailable","Canonical rates not calculated — check metric, unit, exposure duration, or density"))))))</f>
        <v/>
      </c>
      <c r="T12" s="27" t="inlineStr"/>
      <c r="V12">
        <f>IF(OR(K12="",M12=""),"",IFERROR(VLOOKUP(K12&amp;"|"&amp;M12,'Lists'!$A$2:$C$48,3,FALSE),""))</f>
        <v/>
      </c>
      <c r="W12">
        <f>IF(H12="","",IFERROR(VALUE(LEFT(TRIM(H12),FIND(" ",TRIM(H12)&amp;" ")-1))*IF(OR(ISNUMBER(SEARCH("year",LOWER(H12))),ISNUMBER(SEARCH(" yr",LOWER(H12))),RIGHT(LOWER(TRIM(H12)),1)="y"),1,IF(OR(ISNUMBER(SEARCH("month",LOWER(H12))),ISNUMBER(SEARCH(" mo",LOWER(H12)))),1/12,IF(OR(ISNUMBER(SEARCH("week",LOWER(H12))),ISNUMBER(SEARCH(" wk",LOWER(H12)))),7/365.25,IF(OR(ISNUMBER(SEARCH("day",LOWER(H12))),RIGHT(LOWER(TRIM(H12)),1)="d"),1/365.25,"")))),""))</f>
        <v/>
      </c>
    </row>
    <row r="13">
      <c r="A13" s="6" t="inlineStr">
        <is>
          <t>s021</t>
        </is>
      </c>
      <c r="B13" s="7" t="inlineStr">
        <is>
          <t>Assessing Atmospheric Corrosivity in Antarctica</t>
        </is>
      </c>
      <c r="C13" s="6" t="inlineStr">
        <is>
          <t>US-009</t>
        </is>
      </c>
      <c r="D13" s="7" t="inlineStr">
        <is>
          <t>Phoenix</t>
        </is>
      </c>
      <c r="E13" s="6" t="inlineStr">
        <is>
          <t>USA</t>
        </is>
      </c>
      <c r="F13" s="8" t="n">
        <v>8</v>
      </c>
      <c r="G13" s="9" t="inlineStr">
        <is>
          <t>Low-alloy steel</t>
        </is>
      </c>
      <c r="H13" s="10" t="inlineStr">
        <is>
          <t>1 year</t>
        </is>
      </c>
      <c r="I13" s="11" t="inlineStr"/>
      <c r="J13" s="11" t="inlineStr"/>
      <c r="K13" s="10" t="inlineStr">
        <is>
          <t>corrosion_rate</t>
        </is>
      </c>
      <c r="L13" s="12" t="n">
        <v>6.3</v>
      </c>
      <c r="M13" s="10" t="inlineStr">
        <is>
          <t>µm/year</t>
        </is>
      </c>
      <c r="N13" s="13">
        <f>IF(G13="","",IFERROR(VLOOKUP(G13,'Lists'!$E$2:$F$18,2,FALSE),""))</f>
        <v/>
      </c>
      <c r="O13" s="12" t="inlineStr"/>
      <c r="P13" s="13">
        <f>IF(O13&lt;&gt;"",O13,N13)</f>
        <v/>
      </c>
      <c r="Q13" s="14">
        <f>IF(OR(K13="",L13="",M13=""),"",IF(OR(K13="penetration_rate",K13="corrosion_rate"),IF(V13="","",L13*V13),IF(K13="mass_loss_rate",IF(OR(V13="",P13=""),"",L13*V13/P13),IF(K13="cumulative_penetration",IF(OR(V13="",W13=""),"",L13*V13/W13),IF(K13="cumulative_mass_loss",IF(OR(V13="",P13="",W13=""),"",L13*V13/P13/W13),"")))))</f>
        <v/>
      </c>
      <c r="R13" s="14">
        <f>IF(OR(K13="",L13="",M13=""),"",IF(OR(K13="penetration_rate",K13="corrosion_rate"),IF(OR(V13="",P13=""),"",L13*V13*P13),IF(K13="mass_loss_rate",IF(V13="","",L13*V13),IF(K13="cumulative_penetration",IF(OR(V13="",P13="",W13=""),"",L13*V13*P13/W13),IF(K13="cumulative_mass_loss",IF(OR(V13="",W13=""),"",L13*V13/W13),"")))))</f>
        <v/>
      </c>
      <c r="S13" s="15">
        <f>IF(OR(K13="",L13="",M13=""),"",IF(OR(K13="maximum_pit_depth",K13="net_mass_change",K13="MCI",K13="Al-ACI",K13="ICI"),"Not converted to canonical general-corrosion rates",IF(AND(H13="",OR(K13="cumulative_penetration",K13="cumulative_mass_loss")),"Exposure period not reported — cumulative value preserved; annual canonical rates unavailable",IF(AND(Q13&lt;&gt;"",R13&lt;&gt;""),"Both canonical rates calculated",IF(Q13&lt;&gt;"","Thickness-loss rate calculated; mass-loss rate unavailable",IF(R13&lt;&gt;"","Mass-loss rate calculated; thickness-loss rate unavailable","Canonical rates not calculated — check metric, unit, exposure duration, or density"))))))</f>
        <v/>
      </c>
      <c r="T13" s="16" t="inlineStr"/>
      <c r="V13">
        <f>IF(OR(K13="",M13=""),"",IFERROR(VLOOKUP(K13&amp;"|"&amp;M13,'Lists'!$A$2:$C$48,3,FALSE),""))</f>
        <v/>
      </c>
      <c r="W13">
        <f>IF(H13="","",IFERROR(VALUE(LEFT(TRIM(H13),FIND(" ",TRIM(H13)&amp;" ")-1))*IF(OR(ISNUMBER(SEARCH("year",LOWER(H13))),ISNUMBER(SEARCH(" yr",LOWER(H13))),RIGHT(LOWER(TRIM(H13)),1)="y"),1,IF(OR(ISNUMBER(SEARCH("month",LOWER(H13))),ISNUMBER(SEARCH(" mo",LOWER(H13)))),1/12,IF(OR(ISNUMBER(SEARCH("week",LOWER(H13))),ISNUMBER(SEARCH(" wk",LOWER(H13)))),7/365.25,IF(OR(ISNUMBER(SEARCH("day",LOWER(H13))),RIGHT(LOWER(TRIM(H13)),1)="d"),1/365.25,"")))),""))</f>
        <v/>
      </c>
    </row>
    <row r="14">
      <c r="A14" s="28" t="inlineStr">
        <is>
          <t>s021</t>
        </is>
      </c>
      <c r="B14" s="29" t="inlineStr">
        <is>
          <t>Assessing Atmospheric Corrosivity in Antarctica</t>
        </is>
      </c>
      <c r="C14" s="28" t="inlineStr">
        <is>
          <t>US-009</t>
        </is>
      </c>
      <c r="D14" s="29" t="inlineStr">
        <is>
          <t>Phoenix</t>
        </is>
      </c>
      <c r="E14" s="28" t="inlineStr">
        <is>
          <t>USA</t>
        </is>
      </c>
      <c r="F14" s="30" t="n">
        <v>9</v>
      </c>
      <c r="G14" s="31" t="inlineStr">
        <is>
          <t>Low-alloy steel</t>
        </is>
      </c>
      <c r="H14" s="28" t="inlineStr">
        <is>
          <t>2 years</t>
        </is>
      </c>
      <c r="I14" s="32" t="inlineStr"/>
      <c r="J14" s="32" t="inlineStr"/>
      <c r="K14" s="28" t="inlineStr">
        <is>
          <t>corrosion_rate</t>
        </is>
      </c>
      <c r="L14" s="33" t="n">
        <v>4.4</v>
      </c>
      <c r="M14" s="28" t="inlineStr">
        <is>
          <t>µm/year</t>
        </is>
      </c>
      <c r="N14" s="24">
        <f>IF(G14="","",IFERROR(VLOOKUP(G14,'Lists'!$E$2:$F$18,2,FALSE),""))</f>
        <v/>
      </c>
      <c r="O14" s="33" t="inlineStr"/>
      <c r="P14" s="24">
        <f>IF(O14&lt;&gt;"",O14,N14)</f>
        <v/>
      </c>
      <c r="Q14" s="25">
        <f>IF(OR(K14="",L14="",M14=""),"",IF(OR(K14="penetration_rate",K14="corrosion_rate"),IF(V14="","",L14*V14),IF(K14="mass_loss_rate",IF(OR(V14="",P14=""),"",L14*V14/P14),IF(K14="cumulative_penetration",IF(OR(V14="",W14=""),"",L14*V14/W14),IF(K14="cumulative_mass_loss",IF(OR(V14="",P14="",W14=""),"",L14*V14/P14/W14),"")))))</f>
        <v/>
      </c>
      <c r="R14" s="25">
        <f>IF(OR(K14="",L14="",M14=""),"",IF(OR(K14="penetration_rate",K14="corrosion_rate"),IF(OR(V14="",P14=""),"",L14*V14*P14),IF(K14="mass_loss_rate",IF(V14="","",L14*V14),IF(K14="cumulative_penetration",IF(OR(V14="",P14="",W14=""),"",L14*V14*P14/W14),IF(K14="cumulative_mass_loss",IF(OR(V14="",W14=""),"",L14*V14/W14),"")))))</f>
        <v/>
      </c>
      <c r="S14" s="26">
        <f>IF(OR(K14="",L14="",M14=""),"",IF(OR(K14="maximum_pit_depth",K14="net_mass_change",K14="MCI",K14="Al-ACI",K14="ICI"),"Not converted to canonical general-corrosion rates",IF(AND(H14="",OR(K14="cumulative_penetration",K14="cumulative_mass_loss")),"Exposure period not reported — cumulative value preserved; annual canonical rates unavailable",IF(AND(Q14&lt;&gt;"",R14&lt;&gt;""),"Both canonical rates calculated",IF(Q14&lt;&gt;"","Thickness-loss rate calculated; mass-loss rate unavailable",IF(R14&lt;&gt;"","Mass-loss rate calculated; thickness-loss rate unavailable","Canonical rates not calculated — check metric, unit, exposure duration, or density"))))))</f>
        <v/>
      </c>
      <c r="T14" s="29" t="inlineStr"/>
      <c r="V14">
        <f>IF(OR(K14="",M14=""),"",IFERROR(VLOOKUP(K14&amp;"|"&amp;M14,'Lists'!$A$2:$C$48,3,FALSE),""))</f>
        <v/>
      </c>
      <c r="W14">
        <f>IF(H14="","",IFERROR(VALUE(LEFT(TRIM(H14),FIND(" ",TRIM(H14)&amp;" ")-1))*IF(OR(ISNUMBER(SEARCH("year",LOWER(H14))),ISNUMBER(SEARCH(" yr",LOWER(H14))),RIGHT(LOWER(TRIM(H14)),1)="y"),1,IF(OR(ISNUMBER(SEARCH("month",LOWER(H14))),ISNUMBER(SEARCH(" mo",LOWER(H14)))),1/12,IF(OR(ISNUMBER(SEARCH("week",LOWER(H14))),ISNUMBER(SEARCH(" wk",LOWER(H14)))),7/365.25,IF(OR(ISNUMBER(SEARCH("day",LOWER(H14))),RIGHT(LOWER(TRIM(H14)),1)="d"),1/365.25,"")))),""))</f>
        <v/>
      </c>
    </row>
    <row r="15">
      <c r="A15" s="17" t="inlineStr">
        <is>
          <t>s021</t>
        </is>
      </c>
      <c r="B15" s="18" t="inlineStr">
        <is>
          <t>Assessing Atmospheric Corrosivity in Antarctica</t>
        </is>
      </c>
      <c r="C15" s="17" t="inlineStr">
        <is>
          <t>US-009</t>
        </is>
      </c>
      <c r="D15" s="18" t="inlineStr">
        <is>
          <t>Phoenix</t>
        </is>
      </c>
      <c r="E15" s="17" t="inlineStr">
        <is>
          <t>USA</t>
        </is>
      </c>
      <c r="F15" s="19" t="inlineStr"/>
      <c r="G15" s="20" t="inlineStr"/>
      <c r="H15" s="21" t="inlineStr"/>
      <c r="I15" s="22" t="inlineStr"/>
      <c r="J15" s="22" t="inlineStr"/>
      <c r="K15" s="21" t="inlineStr"/>
      <c r="L15" s="23" t="inlineStr"/>
      <c r="M15" s="21" t="inlineStr"/>
      <c r="N15" s="24">
        <f>IF(G15="","",IFERROR(VLOOKUP(G15,'Lists'!$E$2:$F$18,2,FALSE),""))</f>
        <v/>
      </c>
      <c r="O15" s="23" t="inlineStr"/>
      <c r="P15" s="24">
        <f>IF(O15&lt;&gt;"",O15,N15)</f>
        <v/>
      </c>
      <c r="Q15" s="25">
        <f>IF(OR(K15="",L15="",M15=""),"",IF(OR(K15="penetration_rate",K15="corrosion_rate"),IF(V15="","",L15*V15),IF(K15="mass_loss_rate",IF(OR(V15="",P15=""),"",L15*V15/P15),IF(K15="cumulative_penetration",IF(OR(V15="",W15=""),"",L15*V15/W15),IF(K15="cumulative_mass_loss",IF(OR(V15="",P15="",W15=""),"",L15*V15/P15/W15),"")))))</f>
        <v/>
      </c>
      <c r="R15" s="25">
        <f>IF(OR(K15="",L15="",M15=""),"",IF(OR(K15="penetration_rate",K15="corrosion_rate"),IF(OR(V15="",P15=""),"",L15*V15*P15),IF(K15="mass_loss_rate",IF(V15="","",L15*V15),IF(K15="cumulative_penetration",IF(OR(V15="",P15="",W15=""),"",L15*V15*P15/W15),IF(K15="cumulative_mass_loss",IF(OR(V15="",W15=""),"",L15*V15/W15),"")))))</f>
        <v/>
      </c>
      <c r="S15" s="26">
        <f>IF(OR(K15="",L15="",M15=""),"",IF(OR(K15="maximum_pit_depth",K15="net_mass_change",K15="MCI",K15="Al-ACI",K15="ICI"),"Not converted to canonical general-corrosion rates",IF(AND(H15="",OR(K15="cumulative_penetration",K15="cumulative_mass_loss")),"Exposure period not reported — cumulative value preserved; annual canonical rates unavailable",IF(AND(Q15&lt;&gt;"",R15&lt;&gt;""),"Both canonical rates calculated",IF(Q15&lt;&gt;"","Thickness-loss rate calculated; mass-loss rate unavailable",IF(R15&lt;&gt;"","Mass-loss rate calculated; thickness-loss rate unavailable","Canonical rates not calculated — check metric, unit, exposure duration, or density"))))))</f>
        <v/>
      </c>
      <c r="T15" s="27" t="inlineStr"/>
      <c r="V15">
        <f>IF(OR(K15="",M15=""),"",IFERROR(VLOOKUP(K15&amp;"|"&amp;M15,'Lists'!$A$2:$C$48,3,FALSE),""))</f>
        <v/>
      </c>
      <c r="W15">
        <f>IF(H15="","",IFERROR(VALUE(LEFT(TRIM(H15),FIND(" ",TRIM(H15)&amp;" ")-1))*IF(OR(ISNUMBER(SEARCH("year",LOWER(H15))),ISNUMBER(SEARCH(" yr",LOWER(H15))),RIGHT(LOWER(TRIM(H15)),1)="y"),1,IF(OR(ISNUMBER(SEARCH("month",LOWER(H15))),ISNUMBER(SEARCH(" mo",LOWER(H15)))),1/12,IF(OR(ISNUMBER(SEARCH("week",LOWER(H15))),ISNUMBER(SEARCH(" wk",LOWER(H15)))),7/365.25,IF(OR(ISNUMBER(SEARCH("day",LOWER(H15))),RIGHT(LOWER(TRIM(H15)),1)="d"),1/365.25,"")))),""))</f>
        <v/>
      </c>
    </row>
    <row r="16">
      <c r="A16" s="6" t="inlineStr">
        <is>
          <t>s021</t>
        </is>
      </c>
      <c r="B16" s="7" t="inlineStr">
        <is>
          <t>Assessing Atmospheric Corrosivity in Antarctica</t>
        </is>
      </c>
      <c r="C16" s="6" t="inlineStr">
        <is>
          <t>AQ-NZ-002</t>
        </is>
      </c>
      <c r="D16" s="7" t="inlineStr">
        <is>
          <t>Scott's Hut (cape Evans)</t>
        </is>
      </c>
      <c r="E16" s="6" t="inlineStr">
        <is>
          <t>Antarctica</t>
        </is>
      </c>
      <c r="F16" s="8" t="n">
        <v>10</v>
      </c>
      <c r="G16" s="9" t="inlineStr">
        <is>
          <t>Copper steel</t>
        </is>
      </c>
      <c r="H16" s="10" t="inlineStr">
        <is>
          <t>1 year</t>
        </is>
      </c>
      <c r="I16" s="11" t="inlineStr"/>
      <c r="J16" s="11" t="inlineStr"/>
      <c r="K16" s="10" t="inlineStr">
        <is>
          <t>corrosion_rate</t>
        </is>
      </c>
      <c r="L16" s="12" t="n">
        <v>10.83</v>
      </c>
      <c r="M16" s="10" t="inlineStr">
        <is>
          <t>µm/year</t>
        </is>
      </c>
      <c r="N16" s="13">
        <f>IF(G16="","",IFERROR(VLOOKUP(G16,'Lists'!$E$2:$F$18,2,FALSE),""))</f>
        <v/>
      </c>
      <c r="O16" s="12" t="inlineStr"/>
      <c r="P16" s="13">
        <f>IF(O16&lt;&gt;"",O16,N16)</f>
        <v/>
      </c>
      <c r="Q16" s="14">
        <f>IF(OR(K16="",L16="",M16=""),"",IF(OR(K16="penetration_rate",K16="corrosion_rate"),IF(V16="","",L16*V16),IF(K16="mass_loss_rate",IF(OR(V16="",P16=""),"",L16*V16/P16),IF(K16="cumulative_penetration",IF(OR(V16="",W16=""),"",L16*V16/W16),IF(K16="cumulative_mass_loss",IF(OR(V16="",P16="",W16=""),"",L16*V16/P16/W16),"")))))</f>
        <v/>
      </c>
      <c r="R16" s="14">
        <f>IF(OR(K16="",L16="",M16=""),"",IF(OR(K16="penetration_rate",K16="corrosion_rate"),IF(OR(V16="",P16=""),"",L16*V16*P16),IF(K16="mass_loss_rate",IF(V16="","",L16*V16),IF(K16="cumulative_penetration",IF(OR(V16="",P16="",W16=""),"",L16*V16*P16/W16),IF(K16="cumulative_mass_loss",IF(OR(V16="",W16=""),"",L16*V16/W16),"")))))</f>
        <v/>
      </c>
      <c r="S16" s="15">
        <f>IF(OR(K16="",L16="",M16=""),"",IF(OR(K16="maximum_pit_depth",K16="net_mass_change",K16="MCI",K16="Al-ACI",K16="ICI"),"Not converted to canonical general-corrosion rates",IF(AND(H16="",OR(K16="cumulative_penetration",K16="cumulative_mass_loss")),"Exposure period not reported — cumulative value preserved; annual canonical rates unavailable",IF(AND(Q16&lt;&gt;"",R16&lt;&gt;""),"Both canonical rates calculated",IF(Q16&lt;&gt;"","Thickness-loss rate calculated; mass-loss rate unavailable",IF(R16&lt;&gt;"","Mass-loss rate calculated; thickness-loss rate unavailable","Canonical rates not calculated — check metric, unit, exposure duration, or density"))))))</f>
        <v/>
      </c>
      <c r="T16" s="16" t="inlineStr"/>
      <c r="V16">
        <f>IF(OR(K16="",M16=""),"",IFERROR(VLOOKUP(K16&amp;"|"&amp;M16,'Lists'!$A$2:$C$48,3,FALSE),""))</f>
        <v/>
      </c>
      <c r="W16">
        <f>IF(H16="","",IFERROR(VALUE(LEFT(TRIM(H16),FIND(" ",TRIM(H16)&amp;" ")-1))*IF(OR(ISNUMBER(SEARCH("year",LOWER(H16))),ISNUMBER(SEARCH(" yr",LOWER(H16))),RIGHT(LOWER(TRIM(H16)),1)="y"),1,IF(OR(ISNUMBER(SEARCH("month",LOWER(H16))),ISNUMBER(SEARCH(" mo",LOWER(H16)))),1/12,IF(OR(ISNUMBER(SEARCH("week",LOWER(H16))),ISNUMBER(SEARCH(" wk",LOWER(H16)))),7/365.25,IF(OR(ISNUMBER(SEARCH("day",LOWER(H16))),RIGHT(LOWER(TRIM(H16)),1)="d"),1/365.25,"")))),""))</f>
        <v/>
      </c>
    </row>
    <row r="17">
      <c r="A17" s="28" t="inlineStr">
        <is>
          <t>s021</t>
        </is>
      </c>
      <c r="B17" s="29" t="inlineStr">
        <is>
          <t>Assessing Atmospheric Corrosivity in Antarctica</t>
        </is>
      </c>
      <c r="C17" s="28" t="inlineStr">
        <is>
          <t>AQ-NZ-002</t>
        </is>
      </c>
      <c r="D17" s="29" t="inlineStr">
        <is>
          <t>Scott's Hut (cape Evans)</t>
        </is>
      </c>
      <c r="E17" s="28" t="inlineStr">
        <is>
          <t>Antarctica</t>
        </is>
      </c>
      <c r="F17" s="30" t="n">
        <v>11</v>
      </c>
      <c r="G17" s="31" t="inlineStr">
        <is>
          <t>Copper steel</t>
        </is>
      </c>
      <c r="H17" s="28" t="inlineStr">
        <is>
          <t>3 years</t>
        </is>
      </c>
      <c r="I17" s="32" t="inlineStr"/>
      <c r="J17" s="32" t="inlineStr"/>
      <c r="K17" s="28" t="inlineStr">
        <is>
          <t>corrosion_rate</t>
        </is>
      </c>
      <c r="L17" s="33" t="n">
        <v>4.42</v>
      </c>
      <c r="M17" s="28" t="inlineStr">
        <is>
          <t>µm/year</t>
        </is>
      </c>
      <c r="N17" s="24">
        <f>IF(G17="","",IFERROR(VLOOKUP(G17,'Lists'!$E$2:$F$18,2,FALSE),""))</f>
        <v/>
      </c>
      <c r="O17" s="33" t="inlineStr"/>
      <c r="P17" s="24">
        <f>IF(O17&lt;&gt;"",O17,N17)</f>
        <v/>
      </c>
      <c r="Q17" s="25">
        <f>IF(OR(K17="",L17="",M17=""),"",IF(OR(K17="penetration_rate",K17="corrosion_rate"),IF(V17="","",L17*V17),IF(K17="mass_loss_rate",IF(OR(V17="",P17=""),"",L17*V17/P17),IF(K17="cumulative_penetration",IF(OR(V17="",W17=""),"",L17*V17/W17),IF(K17="cumulative_mass_loss",IF(OR(V17="",P17="",W17=""),"",L17*V17/P17/W17),"")))))</f>
        <v/>
      </c>
      <c r="R17" s="25">
        <f>IF(OR(K17="",L17="",M17=""),"",IF(OR(K17="penetration_rate",K17="corrosion_rate"),IF(OR(V17="",P17=""),"",L17*V17*P17),IF(K17="mass_loss_rate",IF(V17="","",L17*V17),IF(K17="cumulative_penetration",IF(OR(V17="",P17="",W17=""),"",L17*V17*P17/W17),IF(K17="cumulative_mass_loss",IF(OR(V17="",W17=""),"",L17*V17/W17),"")))))</f>
        <v/>
      </c>
      <c r="S17" s="26">
        <f>IF(OR(K17="",L17="",M17=""),"",IF(OR(K17="maximum_pit_depth",K17="net_mass_change",K17="MCI",K17="Al-ACI",K17="ICI"),"Not converted to canonical general-corrosion rates",IF(AND(H17="",OR(K17="cumulative_penetration",K17="cumulative_mass_loss")),"Exposure period not reported — cumulative value preserved; annual canonical rates unavailable",IF(AND(Q17&lt;&gt;"",R17&lt;&gt;""),"Both canonical rates calculated",IF(Q17&lt;&gt;"","Thickness-loss rate calculated; mass-loss rate unavailable",IF(R17&lt;&gt;"","Mass-loss rate calculated; thickness-loss rate unavailable","Canonical rates not calculated — check metric, unit, exposure duration, or density"))))))</f>
        <v/>
      </c>
      <c r="T17" s="29" t="inlineStr"/>
      <c r="V17">
        <f>IF(OR(K17="",M17=""),"",IFERROR(VLOOKUP(K17&amp;"|"&amp;M17,'Lists'!$A$2:$C$48,3,FALSE),""))</f>
        <v/>
      </c>
      <c r="W17">
        <f>IF(H17="","",IFERROR(VALUE(LEFT(TRIM(H17),FIND(" ",TRIM(H17)&amp;" ")-1))*IF(OR(ISNUMBER(SEARCH("year",LOWER(H17))),ISNUMBER(SEARCH(" yr",LOWER(H17))),RIGHT(LOWER(TRIM(H17)),1)="y"),1,IF(OR(ISNUMBER(SEARCH("month",LOWER(H17))),ISNUMBER(SEARCH(" mo",LOWER(H17)))),1/12,IF(OR(ISNUMBER(SEARCH("week",LOWER(H17))),ISNUMBER(SEARCH(" wk",LOWER(H17)))),7/365.25,IF(OR(ISNUMBER(SEARCH("day",LOWER(H17))),RIGHT(LOWER(TRIM(H17)),1)="d"),1/365.25,"")))),""))</f>
        <v/>
      </c>
    </row>
    <row r="18">
      <c r="A18" s="17" t="inlineStr">
        <is>
          <t>s021</t>
        </is>
      </c>
      <c r="B18" s="18" t="inlineStr">
        <is>
          <t>Assessing Atmospheric Corrosivity in Antarctica</t>
        </is>
      </c>
      <c r="C18" s="17" t="inlineStr">
        <is>
          <t>AQ-NZ-002</t>
        </is>
      </c>
      <c r="D18" s="18" t="inlineStr">
        <is>
          <t>Scott's Hut (cape Evans)</t>
        </is>
      </c>
      <c r="E18" s="17" t="inlineStr">
        <is>
          <t>Antarctica</t>
        </is>
      </c>
      <c r="F18" s="19" t="inlineStr"/>
      <c r="G18" s="20" t="inlineStr"/>
      <c r="H18" s="21" t="inlineStr"/>
      <c r="I18" s="22" t="inlineStr"/>
      <c r="J18" s="22" t="inlineStr"/>
      <c r="K18" s="21" t="inlineStr"/>
      <c r="L18" s="23" t="inlineStr"/>
      <c r="M18" s="21" t="inlineStr"/>
      <c r="N18" s="24">
        <f>IF(G18="","",IFERROR(VLOOKUP(G18,'Lists'!$E$2:$F$18,2,FALSE),""))</f>
        <v/>
      </c>
      <c r="O18" s="23" t="inlineStr"/>
      <c r="P18" s="24">
        <f>IF(O18&lt;&gt;"",O18,N18)</f>
        <v/>
      </c>
      <c r="Q18" s="25">
        <f>IF(OR(K18="",L18="",M18=""),"",IF(OR(K18="penetration_rate",K18="corrosion_rate"),IF(V18="","",L18*V18),IF(K18="mass_loss_rate",IF(OR(V18="",P18=""),"",L18*V18/P18),IF(K18="cumulative_penetration",IF(OR(V18="",W18=""),"",L18*V18/W18),IF(K18="cumulative_mass_loss",IF(OR(V18="",P18="",W18=""),"",L18*V18/P18/W18),"")))))</f>
        <v/>
      </c>
      <c r="R18" s="25">
        <f>IF(OR(K18="",L18="",M18=""),"",IF(OR(K18="penetration_rate",K18="corrosion_rate"),IF(OR(V18="",P18=""),"",L18*V18*P18),IF(K18="mass_loss_rate",IF(V18="","",L18*V18),IF(K18="cumulative_penetration",IF(OR(V18="",P18="",W18=""),"",L18*V18*P18/W18),IF(K18="cumulative_mass_loss",IF(OR(V18="",W18=""),"",L18*V18/W18),"")))))</f>
        <v/>
      </c>
      <c r="S18" s="26">
        <f>IF(OR(K18="",L18="",M18=""),"",IF(OR(K18="maximum_pit_depth",K18="net_mass_change",K18="MCI",K18="Al-ACI",K18="ICI"),"Not converted to canonical general-corrosion rates",IF(AND(H18="",OR(K18="cumulative_penetration",K18="cumulative_mass_loss")),"Exposure period not reported — cumulative value preserved; annual canonical rates unavailable",IF(AND(Q18&lt;&gt;"",R18&lt;&gt;""),"Both canonical rates calculated",IF(Q18&lt;&gt;"","Thickness-loss rate calculated; mass-loss rate unavailable",IF(R18&lt;&gt;"","Mass-loss rate calculated; thickness-loss rate unavailable","Canonical rates not calculated — check metric, unit, exposure duration, or density"))))))</f>
        <v/>
      </c>
      <c r="T18" s="27" t="inlineStr"/>
      <c r="V18">
        <f>IF(OR(K18="",M18=""),"",IFERROR(VLOOKUP(K18&amp;"|"&amp;M18,'Lists'!$A$2:$C$48,3,FALSE),""))</f>
        <v/>
      </c>
      <c r="W18">
        <f>IF(H18="","",IFERROR(VALUE(LEFT(TRIM(H18),FIND(" ",TRIM(H18)&amp;" ")-1))*IF(OR(ISNUMBER(SEARCH("year",LOWER(H18))),ISNUMBER(SEARCH(" yr",LOWER(H18))),RIGHT(LOWER(TRIM(H18)),1)="y"),1,IF(OR(ISNUMBER(SEARCH("month",LOWER(H18))),ISNUMBER(SEARCH(" mo",LOWER(H18)))),1/12,IF(OR(ISNUMBER(SEARCH("week",LOWER(H18))),ISNUMBER(SEARCH(" wk",LOWER(H18)))),7/365.25,IF(OR(ISNUMBER(SEARCH("day",LOWER(H18))),RIGHT(LOWER(TRIM(H18)),1)="d"),1/365.25,"")))),""))</f>
        <v/>
      </c>
    </row>
    <row r="19">
      <c r="A19" s="6" t="inlineStr">
        <is>
          <t>s021</t>
        </is>
      </c>
      <c r="B19" s="7" t="inlineStr">
        <is>
          <t>Assessing Atmospheric Corrosivity in Antarctica</t>
        </is>
      </c>
      <c r="C19" s="6" t="inlineStr">
        <is>
          <t>AQ-NZ-001</t>
        </is>
      </c>
      <c r="D19" s="7" t="inlineStr">
        <is>
          <t>Vanda station</t>
        </is>
      </c>
      <c r="E19" s="6" t="inlineStr">
        <is>
          <t>Antarctica</t>
        </is>
      </c>
      <c r="F19" s="8" t="n">
        <v>12</v>
      </c>
      <c r="G19" s="9" t="inlineStr">
        <is>
          <t>Copper steel</t>
        </is>
      </c>
      <c r="H19" s="10" t="inlineStr">
        <is>
          <t>1 year</t>
        </is>
      </c>
      <c r="I19" s="11" t="inlineStr"/>
      <c r="J19" s="11" t="inlineStr"/>
      <c r="K19" s="10" t="inlineStr">
        <is>
          <t>corrosion_rate</t>
        </is>
      </c>
      <c r="L19" s="12" t="n">
        <v>0.87</v>
      </c>
      <c r="M19" s="10" t="inlineStr">
        <is>
          <t>µm/year</t>
        </is>
      </c>
      <c r="N19" s="13">
        <f>IF(G19="","",IFERROR(VLOOKUP(G19,'Lists'!$E$2:$F$18,2,FALSE),""))</f>
        <v/>
      </c>
      <c r="O19" s="12" t="inlineStr"/>
      <c r="P19" s="13">
        <f>IF(O19&lt;&gt;"",O19,N19)</f>
        <v/>
      </c>
      <c r="Q19" s="14">
        <f>IF(OR(K19="",L19="",M19=""),"",IF(OR(K19="penetration_rate",K19="corrosion_rate"),IF(V19="","",L19*V19),IF(K19="mass_loss_rate",IF(OR(V19="",P19=""),"",L19*V19/P19),IF(K19="cumulative_penetration",IF(OR(V19="",W19=""),"",L19*V19/W19),IF(K19="cumulative_mass_loss",IF(OR(V19="",P19="",W19=""),"",L19*V19/P19/W19),"")))))</f>
        <v/>
      </c>
      <c r="R19" s="14">
        <f>IF(OR(K19="",L19="",M19=""),"",IF(OR(K19="penetration_rate",K19="corrosion_rate"),IF(OR(V19="",P19=""),"",L19*V19*P19),IF(K19="mass_loss_rate",IF(V19="","",L19*V19),IF(K19="cumulative_penetration",IF(OR(V19="",P19="",W19=""),"",L19*V19*P19/W19),IF(K19="cumulative_mass_loss",IF(OR(V19="",W19=""),"",L19*V19/W19),"")))))</f>
        <v/>
      </c>
      <c r="S19" s="15">
        <f>IF(OR(K19="",L19="",M19=""),"",IF(OR(K19="maximum_pit_depth",K19="net_mass_change",K19="MCI",K19="Al-ACI",K19="ICI"),"Not converted to canonical general-corrosion rates",IF(AND(H19="",OR(K19="cumulative_penetration",K19="cumulative_mass_loss")),"Exposure period not reported — cumulative value preserved; annual canonical rates unavailable",IF(AND(Q19&lt;&gt;"",R19&lt;&gt;""),"Both canonical rates calculated",IF(Q19&lt;&gt;"","Thickness-loss rate calculated; mass-loss rate unavailable",IF(R19&lt;&gt;"","Mass-loss rate calculated; thickness-loss rate unavailable","Canonical rates not calculated — check metric, unit, exposure duration, or density"))))))</f>
        <v/>
      </c>
      <c r="T19" s="16" t="inlineStr"/>
      <c r="V19">
        <f>IF(OR(K19="",M19=""),"",IFERROR(VLOOKUP(K19&amp;"|"&amp;M19,'Lists'!$A$2:$C$48,3,FALSE),""))</f>
        <v/>
      </c>
      <c r="W19">
        <f>IF(H19="","",IFERROR(VALUE(LEFT(TRIM(H19),FIND(" ",TRIM(H19)&amp;" ")-1))*IF(OR(ISNUMBER(SEARCH("year",LOWER(H19))),ISNUMBER(SEARCH(" yr",LOWER(H19))),RIGHT(LOWER(TRIM(H19)),1)="y"),1,IF(OR(ISNUMBER(SEARCH("month",LOWER(H19))),ISNUMBER(SEARCH(" mo",LOWER(H19)))),1/12,IF(OR(ISNUMBER(SEARCH("week",LOWER(H19))),ISNUMBER(SEARCH(" wk",LOWER(H19)))),7/365.25,IF(OR(ISNUMBER(SEARCH("day",LOWER(H19))),RIGHT(LOWER(TRIM(H19)),1)="d"),1/365.25,"")))),""))</f>
        <v/>
      </c>
    </row>
    <row r="20">
      <c r="A20" s="17" t="inlineStr">
        <is>
          <t>s021</t>
        </is>
      </c>
      <c r="B20" s="18" t="inlineStr">
        <is>
          <t>Assessing Atmospheric Corrosivity in Antarctica</t>
        </is>
      </c>
      <c r="C20" s="17" t="inlineStr">
        <is>
          <t>AQ-NZ-001</t>
        </is>
      </c>
      <c r="D20" s="18" t="inlineStr">
        <is>
          <t>Vanda station</t>
        </is>
      </c>
      <c r="E20" s="17" t="inlineStr">
        <is>
          <t>Antarctica</t>
        </is>
      </c>
      <c r="F20" s="19" t="inlineStr"/>
      <c r="G20" s="20" t="inlineStr"/>
      <c r="H20" s="21" t="inlineStr"/>
      <c r="I20" s="22" t="inlineStr"/>
      <c r="J20" s="22" t="inlineStr"/>
      <c r="K20" s="21" t="inlineStr"/>
      <c r="L20" s="23" t="inlineStr"/>
      <c r="M20" s="21" t="inlineStr"/>
      <c r="N20" s="24">
        <f>IF(G20="","",IFERROR(VLOOKUP(G20,'Lists'!$E$2:$F$18,2,FALSE),""))</f>
        <v/>
      </c>
      <c r="O20" s="23" t="inlineStr"/>
      <c r="P20" s="24">
        <f>IF(O20&lt;&gt;"",O20,N20)</f>
        <v/>
      </c>
      <c r="Q20" s="25">
        <f>IF(OR(K20="",L20="",M20=""),"",IF(OR(K20="penetration_rate",K20="corrosion_rate"),IF(V20="","",L20*V20),IF(K20="mass_loss_rate",IF(OR(V20="",P20=""),"",L20*V20/P20),IF(K20="cumulative_penetration",IF(OR(V20="",W20=""),"",L20*V20/W20),IF(K20="cumulative_mass_loss",IF(OR(V20="",P20="",W20=""),"",L20*V20/P20/W20),"")))))</f>
        <v/>
      </c>
      <c r="R20" s="25">
        <f>IF(OR(K20="",L20="",M20=""),"",IF(OR(K20="penetration_rate",K20="corrosion_rate"),IF(OR(V20="",P20=""),"",L20*V20*P20),IF(K20="mass_loss_rate",IF(V20="","",L20*V20),IF(K20="cumulative_penetration",IF(OR(V20="",P20="",W20=""),"",L20*V20*P20/W20),IF(K20="cumulative_mass_loss",IF(OR(V20="",W20=""),"",L20*V20/W20),"")))))</f>
        <v/>
      </c>
      <c r="S20" s="26">
        <f>IF(OR(K20="",L20="",M20=""),"",IF(OR(K20="maximum_pit_depth",K20="net_mass_change",K20="MCI",K20="Al-ACI",K20="ICI"),"Not converted to canonical general-corrosion rates",IF(AND(H20="",OR(K20="cumulative_penetration",K20="cumulative_mass_loss")),"Exposure period not reported — cumulative value preserved; annual canonical rates unavailable",IF(AND(Q20&lt;&gt;"",R20&lt;&gt;""),"Both canonical rates calculated",IF(Q20&lt;&gt;"","Thickness-loss rate calculated; mass-loss rate unavailable",IF(R20&lt;&gt;"","Mass-loss rate calculated; thickness-loss rate unavailable","Canonical rates not calculated — check metric, unit, exposure duration, or density"))))))</f>
        <v/>
      </c>
      <c r="T20" s="27" t="inlineStr"/>
      <c r="V20">
        <f>IF(OR(K20="",M20=""),"",IFERROR(VLOOKUP(K20&amp;"|"&amp;M20,'Lists'!$A$2:$C$48,3,FALSE),""))</f>
        <v/>
      </c>
      <c r="W20">
        <f>IF(H20="","",IFERROR(VALUE(LEFT(TRIM(H20),FIND(" ",TRIM(H20)&amp;" ")-1))*IF(OR(ISNUMBER(SEARCH("year",LOWER(H20))),ISNUMBER(SEARCH(" yr",LOWER(H20))),RIGHT(LOWER(TRIM(H20)),1)="y"),1,IF(OR(ISNUMBER(SEARCH("month",LOWER(H20))),ISNUMBER(SEARCH(" mo",LOWER(H20)))),1/12,IF(OR(ISNUMBER(SEARCH("week",LOWER(H20))),ISNUMBER(SEARCH(" wk",LOWER(H20)))),7/365.25,IF(OR(ISNUMBER(SEARCH("day",LOWER(H20))),RIGHT(LOWER(TRIM(H20)),1)="d"),1/365.25,"")))),""))</f>
        <v/>
      </c>
    </row>
  </sheetData>
  <autoFilter ref="A1:T20"/>
  <conditionalFormatting sqref="G2:M20">
    <cfRule type="expression" priority="1" dxfId="0">
      <formula>AND(COUNTA($G2:$M2)&gt;0,OR($G2="",$K2="",$L2="",$M2=""))</formula>
    </cfRule>
  </conditionalFormatting>
  <conditionalFormatting sqref="S2:S20">
    <cfRule type="expression" priority="2" dxfId="1">
      <formula>ISNUMBER(SEARCH("Unsupported",S2))</formula>
    </cfRule>
    <cfRule type="expression" priority="3" dxfId="1">
      <formula>OR(ISNUMBER(SEARCH("unavailable",S2)),ISNUMBER(SEARCH("not calculated",S2)))</formula>
    </cfRule>
  </conditionalFormatting>
  <dataValidations count="6">
    <dataValidation sqref="G2:G20" showDropDown="0" showInputMessage="1" showErrorMessage="1" allowBlank="1" errorTitle="Invalid material" error="Choose a material from the curator list." promptTitle="Material" prompt="Choose a material already registered in the curator database." type="list">
      <formula1>=CorrosionMetalOptions</formula1>
    </dataValidation>
    <dataValidation sqref="H2:H20" showDropDown="0" showInputMessage="1" showErrorMessage="0" allowBlank="1" promptTitle="Exposure duration" prompt="Optional. Choose a known duration, type a custom duration, or leave blank if the source does not report the exposure period." type="list">
      <formula1>=CorrosionExposureOptions</formula1>
    </dataValidation>
    <dataValidation sqref="K2:K20" showDropDown="0" showInputMessage="1" showErrorMessage="1" allowBlank="1" errorTitle="Invalid metric" error="Choose an approved corrosion metric." promptTitle="Reported corrosion metric" prompt="Choose the physical quantity reported by the source. Do not convert the source value manually." type="list">
      <formula1>=CorrosionMetricOptions</formula1>
    </dataValidation>
    <dataValidation sqref="M2:M20" showDropDown="0" showInputMessage="1" showErrorMessage="1" allowBlank="1" errorTitle="Invalid unit" error="Choose one of the approved reported units." promptTitle="Reported unit" prompt="Choose the unit exactly as reported by the source. The workbook will calculate canonical rates automatically." type="list">
      <formula1>=INDIRECT(IF($K2="","CorrosionUnits_blank","CorrosionUnits_"&amp;SUBSTITUTE($K2,"-","_")))</formula1>
    </dataValidation>
    <dataValidation sqref="L2:L20" showDropDown="0" showInputMessage="0" showErrorMessage="1" allowBlank="1" errorTitle="Invalid number" error="Enter a numerical reported value." type="decimal" operator="between">
      <formula1>-1E+100</formula1>
      <formula2>1E+100</formula2>
    </dataValidation>
    <dataValidation sqref="O2:O20" showDropDown="0" showInputMessage="0" showErrorMessage="1" allowBlank="1" errorTitle="Invalid density" error="Density must be greater than zero." type="decimal" operator="greaterThan">
      <formula1>0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005B9BD5"/>
    <outlinePr summaryBelow="1" summaryRight="1"/>
    <pageSetUpPr/>
  </sheetPr>
  <dimension ref="A1:F4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68" customWidth="1" min="2" max="2"/>
    <col width="12" customWidth="1" min="3" max="3"/>
    <col width="12" customWidth="1" min="4" max="4"/>
    <col width="12" customWidth="1" min="5" max="5"/>
    <col width="12" customWidth="1" min="6" max="6"/>
  </cols>
  <sheetData>
    <row r="1" ht="28" customHeight="1">
      <c r="A1" s="34" t="inlineStr">
        <is>
          <t>Corrosion Atlas — Observation Entry Guide</t>
        </is>
      </c>
    </row>
    <row r="3">
      <c r="A3" s="35" t="inlineStr">
        <is>
          <t>Workbook purpose</t>
        </is>
      </c>
    </row>
    <row r="4">
      <c r="A4" s="36" t="inlineStr">
        <is>
          <t>Enter corrosion observations exactly as reported by the selected source. Calculated fields are only a workbook preview; the curator app independently validates and recalculates them during import.</t>
        </is>
      </c>
    </row>
    <row r="5"/>
    <row r="7">
      <c r="A7" s="35" t="inlineStr">
        <is>
          <t>Cell colours</t>
        </is>
      </c>
    </row>
    <row r="9">
      <c r="A9" s="37" t="inlineStr">
        <is>
          <t>Blue</t>
        </is>
      </c>
      <c r="B9" t="inlineStr">
        <is>
          <t>Source/site context — normally do not edit.</t>
        </is>
      </c>
    </row>
    <row r="10">
      <c r="A10" s="38" t="inlineStr">
        <is>
          <t>Yellow</t>
        </is>
      </c>
      <c r="B10" t="inlineStr">
        <is>
          <t>Curator input — enter or select source data here.</t>
        </is>
      </c>
    </row>
    <row r="11">
      <c r="A11" s="39" t="inlineStr">
        <is>
          <t>Grey</t>
        </is>
      </c>
      <c r="B11" t="inlineStr">
        <is>
          <t>Calculated field — generated automatically.</t>
        </is>
      </c>
    </row>
    <row r="12">
      <c r="A12" s="40" t="inlineStr">
        <is>
          <t>Green</t>
        </is>
      </c>
      <c r="B12" t="inlineStr">
        <is>
          <t>Existing database observation.</t>
        </is>
      </c>
    </row>
    <row r="13">
      <c r="A13" s="41" t="inlineStr">
        <is>
          <t>Red/Pink</t>
        </is>
      </c>
      <c r="B13" t="inlineStr">
        <is>
          <t>Incomplete observation row — required entry fields are missing.</t>
        </is>
      </c>
    </row>
    <row r="16">
      <c r="A16" s="35" t="inlineStr">
        <is>
          <t>Core input fields</t>
        </is>
      </c>
    </row>
    <row r="18">
      <c r="A18" t="inlineStr">
        <is>
          <t>material</t>
        </is>
      </c>
      <c r="B18" t="inlineStr">
        <is>
          <t>Metal/material exposed at the site.</t>
        </is>
      </c>
    </row>
    <row r="19">
      <c r="A19" t="inlineStr">
        <is>
          <t>exposure_period</t>
        </is>
      </c>
      <c r="B19" t="inlineStr">
        <is>
          <t>Optional exposure duration, e.g. 90 days, 6 months, 1 year, 16 years. Leave blank when the source does not report a duration. Cumulative quantities cannot be annualized without a known duration.</t>
        </is>
      </c>
    </row>
    <row r="20">
      <c r="A20" t="inlineStr">
        <is>
          <t>exposure_start</t>
        </is>
      </c>
      <c r="B20" t="inlineStr">
        <is>
          <t>Optional calendar start of exposure. Use YYYY, YYYY-MM, or YYYY-MM-DD according to the precision actually reported by the source. Do not invent missing months or days.</t>
        </is>
      </c>
    </row>
    <row r="21">
      <c r="A21" t="inlineStr">
        <is>
          <t>exposure_end</t>
        </is>
      </c>
      <c r="B21" t="inlineStr">
        <is>
          <t>Optional calendar end of exposure. Use YYYY, YYYY-MM, or YYYY-MM-DD according to the precision actually reported by the source. Do not invent missing months or days.</t>
        </is>
      </c>
    </row>
    <row r="22">
      <c r="A22" t="inlineStr">
        <is>
          <t>corrosion_metric</t>
        </is>
      </c>
      <c r="B22" t="inlineStr">
        <is>
          <t>Physical quantity actually reported by the source.</t>
        </is>
      </c>
    </row>
    <row r="23">
      <c r="A23" t="inlineStr">
        <is>
          <t>reported_value</t>
        </is>
      </c>
      <c r="B23" t="inlineStr">
        <is>
          <t>Numerical value exactly as reported.</t>
        </is>
      </c>
    </row>
    <row r="24">
      <c r="A24" t="inlineStr">
        <is>
          <t>reported_unit</t>
        </is>
      </c>
      <c r="B24" t="inlineStr">
        <is>
          <t>Original unit used by the source.</t>
        </is>
      </c>
    </row>
    <row r="25">
      <c r="A25" s="35" t="inlineStr">
        <is>
          <t>Main corrosion metrics</t>
        </is>
      </c>
    </row>
    <row r="27">
      <c r="A27" s="42" t="inlineStr">
        <is>
          <t>penetration_rate</t>
        </is>
      </c>
      <c r="B27" t="inlineStr">
        <is>
          <t>Thickness/penetration loss already expressed as a rate.</t>
        </is>
      </c>
    </row>
    <row r="28">
      <c r="A28" s="42" t="inlineStr">
        <is>
          <t>mass_loss_rate</t>
        </is>
      </c>
      <c r="B28" t="inlineStr">
        <is>
          <t>Mass loss per exposed area per unit time.</t>
        </is>
      </c>
    </row>
    <row r="29">
      <c r="A29" s="42" t="inlineStr">
        <is>
          <t>cumulative_penetration</t>
        </is>
      </c>
      <c r="B29" t="inlineStr">
        <is>
          <t>Total thickness loss after the stated exposure duration.</t>
        </is>
      </c>
    </row>
    <row r="30">
      <c r="A30" s="42" t="inlineStr">
        <is>
          <t>cumulative_mass_loss</t>
        </is>
      </c>
      <c r="B30" t="inlineStr">
        <is>
          <t>Total mass loss after the stated exposure duration.</t>
        </is>
      </c>
    </row>
    <row r="31">
      <c r="A31" s="42" t="inlineStr">
        <is>
          <t>maximum_pit_depth</t>
        </is>
      </c>
      <c r="B31" t="inlineStr">
        <is>
          <t>Localized pit depth; not converted to general corrosion rate.</t>
        </is>
      </c>
    </row>
    <row r="32">
      <c r="A32" s="42" t="inlineStr">
        <is>
          <t>net_mass_change</t>
        </is>
      </c>
      <c r="B32" t="inlineStr">
        <is>
          <t>Net specimen mass change; not assumed to equal cleaned metal loss.</t>
        </is>
      </c>
    </row>
    <row r="33">
      <c r="A33" s="42" t="inlineStr">
        <is>
          <t>MCI / Al-ACI / ICI</t>
        </is>
      </c>
      <c r="B33" t="inlineStr">
        <is>
          <t>Corrosivity indices; not converted to general corrosion rate.</t>
        </is>
      </c>
    </row>
    <row r="36">
      <c r="A36" s="35" t="inlineStr">
        <is>
          <t>Canonical outputs</t>
        </is>
      </c>
    </row>
    <row r="38">
      <c r="A38" t="inlineStr">
        <is>
          <t>Thickness-loss rate</t>
        </is>
      </c>
      <c r="B38" t="inlineStr">
        <is>
          <t>µm/year</t>
        </is>
      </c>
    </row>
    <row r="39">
      <c r="A39" t="inlineStr">
        <is>
          <t>Mass-loss rate</t>
        </is>
      </c>
      <c r="B39" t="inlineStr">
        <is>
          <t>g/m²/year</t>
        </is>
      </c>
    </row>
    <row r="41">
      <c r="A41" s="36" t="inlineStr">
        <is>
          <t>When density and exposure duration permit, both canonical rates are calculated from the same reported observation.</t>
        </is>
      </c>
    </row>
    <row r="42"/>
    <row r="43">
      <c r="A43" s="43" t="inlineStr">
        <is>
          <t>Generator build</t>
        </is>
      </c>
      <c r="B43" t="inlineStr">
        <is>
          <t>2026-08-27-exposure-dates-v2</t>
        </is>
      </c>
    </row>
    <row r="45">
      <c r="A45" s="35" t="inlineStr">
        <is>
          <t>Adding another observation</t>
        </is>
      </c>
    </row>
    <row r="47">
      <c r="A47" s="44" t="inlineStr">
        <is>
          <t>＋</t>
        </is>
      </c>
      <c r="B47" t="inlineStr">
        <is>
          <t>Click the green + button beside any observation to create a new observation immediately underneath. The new row keeps the source/site context and dropdown selections, but observation_id and reported_value are cleared automatically.</t>
        </is>
      </c>
    </row>
  </sheetData>
  <mergeCells count="3">
    <mergeCell ref="A4:F5"/>
    <mergeCell ref="A41:F42"/>
    <mergeCell ref="A1:F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V52"/>
  <sheetViews>
    <sheetView workbookViewId="0">
      <selection activeCell="A1" sqref="A1"/>
    </sheetView>
  </sheetViews>
  <sheetFormatPr baseColWidth="8" defaultRowHeight="15"/>
  <sheetData>
    <row r="1">
      <c r="A1" t="inlineStr">
        <is>
          <t>metric_unit_key</t>
        </is>
      </c>
      <c r="B1" t="inlineStr">
        <is>
          <t>normalized_unit</t>
        </is>
      </c>
      <c r="C1" t="inlineStr">
        <is>
          <t>multiplier</t>
        </is>
      </c>
      <c r="E1" t="inlineStr">
        <is>
          <t>material</t>
        </is>
      </c>
      <c r="F1" t="inlineStr">
        <is>
          <t>density_g_cm3</t>
        </is>
      </c>
      <c r="H1" t="inlineStr">
        <is>
          <t>metal_options</t>
        </is>
      </c>
      <c r="I1" t="inlineStr">
        <is>
          <t>exposure_options</t>
        </is>
      </c>
      <c r="J1" t="inlineStr">
        <is>
          <t>metric_options</t>
        </is>
      </c>
      <c r="K1" t="inlineStr">
        <is>
          <t>unit_options</t>
        </is>
      </c>
      <c r="L1" t="inlineStr">
        <is>
          <t>blank_unit_option</t>
        </is>
      </c>
      <c r="M1" t="inlineStr">
        <is>
          <t>penetration_rate_units</t>
        </is>
      </c>
      <c r="N1" t="inlineStr">
        <is>
          <t>mass_loss_rate_units</t>
        </is>
      </c>
      <c r="O1" t="inlineStr">
        <is>
          <t>cumulative_penetration_units</t>
        </is>
      </c>
      <c r="P1" t="inlineStr">
        <is>
          <t>cumulative_mass_loss_units</t>
        </is>
      </c>
      <c r="Q1" t="inlineStr">
        <is>
          <t>maximum_pit_depth_units</t>
        </is>
      </c>
      <c r="R1" t="inlineStr">
        <is>
          <t>net_mass_change_units</t>
        </is>
      </c>
      <c r="S1" t="inlineStr">
        <is>
          <t>MCI_units</t>
        </is>
      </c>
      <c r="T1" t="inlineStr">
        <is>
          <t>Al-ACI_units</t>
        </is>
      </c>
      <c r="U1" t="inlineStr">
        <is>
          <t>ICI_units</t>
        </is>
      </c>
      <c r="V1" t="inlineStr">
        <is>
          <t>corrosion_rate_units</t>
        </is>
      </c>
    </row>
    <row r="2">
      <c r="A2" t="inlineStr">
        <is>
          <t>penetration_rate|µm/year</t>
        </is>
      </c>
      <c r="B2" t="inlineStr">
        <is>
          <t>µm/year</t>
        </is>
      </c>
      <c r="C2" t="n">
        <v>1</v>
      </c>
      <c r="E2" t="inlineStr">
        <is>
          <t>Carbon steel</t>
        </is>
      </c>
      <c r="F2" t="n">
        <v>7.85</v>
      </c>
      <c r="H2" t="inlineStr">
        <is>
          <t>Carbon steel</t>
        </is>
      </c>
      <c r="I2" t="inlineStr">
        <is>
          <t>1 month</t>
        </is>
      </c>
      <c r="J2" t="inlineStr">
        <is>
          <t>penetration_rate</t>
        </is>
      </c>
      <c r="K2" t="inlineStr">
        <is>
          <t>µm/year</t>
        </is>
      </c>
      <c r="L2" t="inlineStr"/>
      <c r="M2" t="inlineStr">
        <is>
          <t>µm/year</t>
        </is>
      </c>
      <c r="N2" t="inlineStr">
        <is>
          <t>g/m²/year</t>
        </is>
      </c>
      <c r="O2" t="inlineStr">
        <is>
          <t>µm</t>
        </is>
      </c>
      <c r="P2" t="inlineStr">
        <is>
          <t>g/m²</t>
        </is>
      </c>
      <c r="Q2" t="inlineStr">
        <is>
          <t>µm</t>
        </is>
      </c>
      <c r="R2" t="inlineStr">
        <is>
          <t>g/m²</t>
        </is>
      </c>
      <c r="S2" t="inlineStr">
        <is>
          <t>%</t>
        </is>
      </c>
      <c r="T2" t="inlineStr">
        <is>
          <t>%</t>
        </is>
      </c>
      <c r="U2" t="inlineStr">
        <is>
          <t>%</t>
        </is>
      </c>
      <c r="V2" t="inlineStr">
        <is>
          <t>µm/year</t>
        </is>
      </c>
    </row>
    <row r="3">
      <c r="A3" t="inlineStr">
        <is>
          <t>penetration_rate|µm/a</t>
        </is>
      </c>
      <c r="B3" t="inlineStr">
        <is>
          <t>µm/year</t>
        </is>
      </c>
      <c r="C3" t="n">
        <v>1</v>
      </c>
      <c r="E3" t="inlineStr">
        <is>
          <t>Mild steel</t>
        </is>
      </c>
      <c r="F3" t="n">
        <v>7.85</v>
      </c>
      <c r="H3" t="inlineStr">
        <is>
          <t>Weathering steel</t>
        </is>
      </c>
      <c r="I3" t="inlineStr">
        <is>
          <t>3 months</t>
        </is>
      </c>
      <c r="J3" t="inlineStr">
        <is>
          <t>mass_loss_rate</t>
        </is>
      </c>
      <c r="K3" t="inlineStr">
        <is>
          <t>µm/a</t>
        </is>
      </c>
      <c r="M3" t="inlineStr">
        <is>
          <t>µm/a</t>
        </is>
      </c>
      <c r="N3" t="inlineStr">
        <is>
          <t>g/m²/a</t>
        </is>
      </c>
      <c r="O3" t="inlineStr">
        <is>
          <t>mm</t>
        </is>
      </c>
      <c r="P3" t="inlineStr">
        <is>
          <t>mg/m²</t>
        </is>
      </c>
      <c r="Q3" t="inlineStr">
        <is>
          <t>mm</t>
        </is>
      </c>
      <c r="R3" t="inlineStr">
        <is>
          <t>mg/m²</t>
        </is>
      </c>
      <c r="S3" t="inlineStr">
        <is>
          <t>index</t>
        </is>
      </c>
      <c r="T3" t="inlineStr">
        <is>
          <t>index</t>
        </is>
      </c>
      <c r="U3" t="inlineStr">
        <is>
          <t>index</t>
        </is>
      </c>
      <c r="V3" t="inlineStr">
        <is>
          <t>µm/a</t>
        </is>
      </c>
    </row>
    <row r="4">
      <c r="A4" t="inlineStr">
        <is>
          <t>penetration_rate|mm/year</t>
        </is>
      </c>
      <c r="B4" t="inlineStr">
        <is>
          <t>µm/year</t>
        </is>
      </c>
      <c r="C4" t="n">
        <v>1000</v>
      </c>
      <c r="E4" t="inlineStr">
        <is>
          <t>Low-alloy steel</t>
        </is>
      </c>
      <c r="F4" t="n">
        <v>7.85</v>
      </c>
      <c r="H4" t="inlineStr">
        <is>
          <t>Zinc</t>
        </is>
      </c>
      <c r="I4" t="inlineStr">
        <is>
          <t>6 months</t>
        </is>
      </c>
      <c r="J4" t="inlineStr">
        <is>
          <t>cumulative_penetration</t>
        </is>
      </c>
      <c r="K4" t="inlineStr">
        <is>
          <t>mm/year</t>
        </is>
      </c>
      <c r="M4" t="inlineStr">
        <is>
          <t>mm/year</t>
        </is>
      </c>
      <c r="N4" t="inlineStr">
        <is>
          <t>g/m²·a</t>
        </is>
      </c>
      <c r="O4" t="inlineStr">
        <is>
          <t>mil</t>
        </is>
      </c>
      <c r="P4" t="inlineStr">
        <is>
          <t>g/dm²</t>
        </is>
      </c>
      <c r="Q4" t="inlineStr">
        <is>
          <t>mil</t>
        </is>
      </c>
      <c r="R4" t="inlineStr">
        <is>
          <t>g/dm²</t>
        </is>
      </c>
      <c r="V4" t="inlineStr">
        <is>
          <t>mm/year</t>
        </is>
      </c>
    </row>
    <row r="5">
      <c r="A5" t="inlineStr">
        <is>
          <t>penetration_rate|mm/a</t>
        </is>
      </c>
      <c r="B5" t="inlineStr">
        <is>
          <t>µm/year</t>
        </is>
      </c>
      <c r="C5" t="n">
        <v>1000</v>
      </c>
      <c r="E5" t="inlineStr">
        <is>
          <t>Weathering steel</t>
        </is>
      </c>
      <c r="F5" t="n">
        <v>7.85</v>
      </c>
      <c r="H5" t="inlineStr">
        <is>
          <t>Copper</t>
        </is>
      </c>
      <c r="I5" t="inlineStr">
        <is>
          <t>1 year</t>
        </is>
      </c>
      <c r="J5" t="inlineStr">
        <is>
          <t>cumulative_mass_loss</t>
        </is>
      </c>
      <c r="K5" t="inlineStr">
        <is>
          <t>mm/a</t>
        </is>
      </c>
      <c r="M5" t="inlineStr">
        <is>
          <t>mm/a</t>
        </is>
      </c>
      <c r="N5" t="inlineStr">
        <is>
          <t>g/m².a</t>
        </is>
      </c>
      <c r="P5" t="inlineStr">
        <is>
          <t>mg/dm²</t>
        </is>
      </c>
      <c r="R5" t="inlineStr">
        <is>
          <t>mg/dm²</t>
        </is>
      </c>
      <c r="V5" t="inlineStr">
        <is>
          <t>mm/a</t>
        </is>
      </c>
    </row>
    <row r="6">
      <c r="A6" t="inlineStr">
        <is>
          <t>penetration_rate|mpy</t>
        </is>
      </c>
      <c r="B6" t="inlineStr">
        <is>
          <t>µm/year</t>
        </is>
      </c>
      <c r="C6" t="n">
        <v>25.4</v>
      </c>
      <c r="E6" t="inlineStr">
        <is>
          <t>Copper-bearing steel</t>
        </is>
      </c>
      <c r="F6" t="n">
        <v>7.85</v>
      </c>
      <c r="H6" t="inlineStr">
        <is>
          <t>Aluminium</t>
        </is>
      </c>
      <c r="I6" t="inlineStr">
        <is>
          <t>2 years</t>
        </is>
      </c>
      <c r="J6" t="inlineStr">
        <is>
          <t>maximum_pit_depth</t>
        </is>
      </c>
      <c r="K6" t="inlineStr">
        <is>
          <t>mpy</t>
        </is>
      </c>
      <c r="M6" t="inlineStr">
        <is>
          <t>mpy</t>
        </is>
      </c>
      <c r="N6" t="inlineStr">
        <is>
          <t>g/m2/a</t>
        </is>
      </c>
      <c r="P6" t="inlineStr">
        <is>
          <t>g/cm²</t>
        </is>
      </c>
      <c r="R6" t="inlineStr">
        <is>
          <t>g/cm²</t>
        </is>
      </c>
      <c r="V6" t="inlineStr">
        <is>
          <t>mpy</t>
        </is>
      </c>
    </row>
    <row r="7">
      <c r="A7" t="inlineStr">
        <is>
          <t>penetration_rate|mil/year</t>
        </is>
      </c>
      <c r="B7" t="inlineStr">
        <is>
          <t>µm/year</t>
        </is>
      </c>
      <c r="C7" t="n">
        <v>25.4</v>
      </c>
      <c r="E7" t="inlineStr">
        <is>
          <t>Iron</t>
        </is>
      </c>
      <c r="F7" t="n">
        <v>7.87</v>
      </c>
      <c r="H7" t="inlineStr">
        <is>
          <t>Galvanized steel</t>
        </is>
      </c>
      <c r="I7" t="inlineStr">
        <is>
          <t>3 years</t>
        </is>
      </c>
      <c r="J7" t="inlineStr">
        <is>
          <t>net_mass_change</t>
        </is>
      </c>
      <c r="K7" t="inlineStr">
        <is>
          <t>mil/year</t>
        </is>
      </c>
      <c r="M7" t="inlineStr">
        <is>
          <t>mil/year</t>
        </is>
      </c>
      <c r="N7" t="inlineStr">
        <is>
          <t>g/m2.a</t>
        </is>
      </c>
      <c r="P7" t="inlineStr">
        <is>
          <t>mg/cm²</t>
        </is>
      </c>
      <c r="R7" t="inlineStr">
        <is>
          <t>mg/cm²</t>
        </is>
      </c>
      <c r="V7" t="inlineStr">
        <is>
          <t>mil/year</t>
        </is>
      </c>
    </row>
    <row r="8">
      <c r="A8" t="inlineStr">
        <is>
          <t>corrosion_rate|µm/year</t>
        </is>
      </c>
      <c r="B8" t="inlineStr">
        <is>
          <t>µm/year</t>
        </is>
      </c>
      <c r="C8" t="n">
        <v>1</v>
      </c>
      <c r="E8" t="inlineStr">
        <is>
          <t>Ingot iron</t>
        </is>
      </c>
      <c r="F8" t="n">
        <v>7.87</v>
      </c>
      <c r="H8" t="inlineStr">
        <is>
          <t>Lead</t>
        </is>
      </c>
      <c r="I8" t="inlineStr">
        <is>
          <t>4 years</t>
        </is>
      </c>
      <c r="J8" t="inlineStr">
        <is>
          <t>MCI</t>
        </is>
      </c>
      <c r="K8" t="inlineStr">
        <is>
          <t>g/m²/year</t>
        </is>
      </c>
      <c r="N8" t="inlineStr">
        <is>
          <t>mg/m²/day</t>
        </is>
      </c>
    </row>
    <row r="9">
      <c r="A9" t="inlineStr">
        <is>
          <t>corrosion_rate|µm/a</t>
        </is>
      </c>
      <c r="B9" t="inlineStr">
        <is>
          <t>µm/year</t>
        </is>
      </c>
      <c r="C9" t="n">
        <v>1</v>
      </c>
      <c r="E9" t="inlineStr">
        <is>
          <t>Zinc</t>
        </is>
      </c>
      <c r="F9" t="n">
        <v>7.14</v>
      </c>
      <c r="H9" t="inlineStr">
        <is>
          <t>Nickel</t>
        </is>
      </c>
      <c r="I9" t="inlineStr">
        <is>
          <t>5 years</t>
        </is>
      </c>
      <c r="J9" t="inlineStr">
        <is>
          <t>Al-ACI</t>
        </is>
      </c>
      <c r="K9" t="inlineStr">
        <is>
          <t>g/m²/a</t>
        </is>
      </c>
      <c r="N9" t="inlineStr">
        <is>
          <t>mg/dm²/day</t>
        </is>
      </c>
    </row>
    <row r="10">
      <c r="A10" t="inlineStr">
        <is>
          <t>corrosion_rate|mm/year</t>
        </is>
      </c>
      <c r="B10" t="inlineStr">
        <is>
          <t>µm/year</t>
        </is>
      </c>
      <c r="C10" t="n">
        <v>1000</v>
      </c>
      <c r="E10" t="inlineStr">
        <is>
          <t>Copper</t>
        </is>
      </c>
      <c r="F10" t="n">
        <v>8.960000000000001</v>
      </c>
      <c r="H10" t="inlineStr">
        <is>
          <t>Tin</t>
        </is>
      </c>
      <c r="I10" t="inlineStr">
        <is>
          <t>8 years</t>
        </is>
      </c>
      <c r="J10" t="inlineStr">
        <is>
          <t>ICI</t>
        </is>
      </c>
      <c r="K10" t="inlineStr">
        <is>
          <t>g/m²·a</t>
        </is>
      </c>
      <c r="N10" t="inlineStr">
        <is>
          <t>g/dm²/month</t>
        </is>
      </c>
    </row>
    <row r="11">
      <c r="A11" t="inlineStr">
        <is>
          <t>corrosion_rate|mm/a</t>
        </is>
      </c>
      <c r="B11" t="inlineStr">
        <is>
          <t>µm/year</t>
        </is>
      </c>
      <c r="C11" t="n">
        <v>1000</v>
      </c>
      <c r="E11" t="inlineStr">
        <is>
          <t>Aluminium</t>
        </is>
      </c>
      <c r="F11" t="n">
        <v>2.7</v>
      </c>
      <c r="H11" t="inlineStr">
        <is>
          <t>Brass</t>
        </is>
      </c>
      <c r="I11" t="inlineStr">
        <is>
          <t>10 years</t>
        </is>
      </c>
      <c r="J11" t="inlineStr">
        <is>
          <t>corrosion_rate</t>
        </is>
      </c>
      <c r="K11" t="inlineStr">
        <is>
          <t>g/m².a</t>
        </is>
      </c>
      <c r="N11" t="inlineStr">
        <is>
          <t>g/dm²/year</t>
        </is>
      </c>
    </row>
    <row r="12">
      <c r="A12" t="inlineStr">
        <is>
          <t>corrosion_rate|mpy</t>
        </is>
      </c>
      <c r="B12" t="inlineStr">
        <is>
          <t>µm/year</t>
        </is>
      </c>
      <c r="C12" t="n">
        <v>25.4</v>
      </c>
      <c r="E12" t="inlineStr">
        <is>
          <t>Aluminum</t>
        </is>
      </c>
      <c r="F12" t="n">
        <v>2.7</v>
      </c>
      <c r="H12" t="inlineStr">
        <is>
          <t>Bronze</t>
        </is>
      </c>
      <c r="I12" t="inlineStr">
        <is>
          <t>4 months</t>
        </is>
      </c>
      <c r="K12" t="inlineStr">
        <is>
          <t>g/m2/a</t>
        </is>
      </c>
      <c r="N12" t="inlineStr">
        <is>
          <t>mg/cm²/day</t>
        </is>
      </c>
    </row>
    <row r="13">
      <c r="A13" t="inlineStr">
        <is>
          <t>corrosion_rate|mil/year</t>
        </is>
      </c>
      <c r="B13" t="inlineStr">
        <is>
          <t>µm/year</t>
        </is>
      </c>
      <c r="C13" t="n">
        <v>25.4</v>
      </c>
      <c r="E13" t="inlineStr">
        <is>
          <t>Lead</t>
        </is>
      </c>
      <c r="F13" t="n">
        <v>11.34</v>
      </c>
      <c r="H13" t="inlineStr">
        <is>
          <t>Aluminium alloy</t>
        </is>
      </c>
      <c r="I13" t="inlineStr">
        <is>
          <t>7 years</t>
        </is>
      </c>
      <c r="K13" t="inlineStr">
        <is>
          <t>g/m2.a</t>
        </is>
      </c>
    </row>
    <row r="14">
      <c r="A14" t="inlineStr">
        <is>
          <t>mass_loss_rate|g/m²/year</t>
        </is>
      </c>
      <c r="B14" t="inlineStr">
        <is>
          <t>g/m²/year</t>
        </is>
      </c>
      <c r="C14" t="n">
        <v>1</v>
      </c>
      <c r="E14" t="inlineStr">
        <is>
          <t>Nickel</t>
        </is>
      </c>
      <c r="F14" t="n">
        <v>8.9</v>
      </c>
      <c r="H14" t="inlineStr">
        <is>
          <t>Aluminum-sprayed steel</t>
        </is>
      </c>
      <c r="I14" t="inlineStr">
        <is>
          <t>10 months</t>
        </is>
      </c>
      <c r="K14" t="inlineStr">
        <is>
          <t>mg/m²/day</t>
        </is>
      </c>
    </row>
    <row r="15">
      <c r="A15" t="inlineStr">
        <is>
          <t>mass_loss_rate|g/m²/a</t>
        </is>
      </c>
      <c r="B15" t="inlineStr">
        <is>
          <t>g/m²/year</t>
        </is>
      </c>
      <c r="C15" t="n">
        <v>1</v>
      </c>
      <c r="E15" t="inlineStr">
        <is>
          <t>Tin</t>
        </is>
      </c>
      <c r="F15" t="n">
        <v>7.31</v>
      </c>
      <c r="H15" t="inlineStr">
        <is>
          <t>Austenitic cast iron</t>
        </is>
      </c>
      <c r="I15" t="inlineStr">
        <is>
          <t>16 years</t>
        </is>
      </c>
      <c r="K15" t="inlineStr">
        <is>
          <t>mg/dm²/day</t>
        </is>
      </c>
    </row>
    <row r="16">
      <c r="A16" t="inlineStr">
        <is>
          <t>mass_loss_rate|g/m²·a</t>
        </is>
      </c>
      <c r="B16" t="inlineStr">
        <is>
          <t>g/m²/year</t>
        </is>
      </c>
      <c r="C16" t="n">
        <v>1</v>
      </c>
      <c r="E16" t="inlineStr">
        <is>
          <t>Brass</t>
        </is>
      </c>
      <c r="F16" t="n">
        <v>8.5</v>
      </c>
      <c r="H16" t="inlineStr">
        <is>
          <t>Black steel</t>
        </is>
      </c>
      <c r="I16" t="inlineStr">
        <is>
          <t>20 years</t>
        </is>
      </c>
      <c r="K16" t="inlineStr">
        <is>
          <t>g/dm²/month</t>
        </is>
      </c>
    </row>
    <row r="17">
      <c r="A17" t="inlineStr">
        <is>
          <t>mass_loss_rate|g/m².a</t>
        </is>
      </c>
      <c r="B17" t="inlineStr">
        <is>
          <t>g/m²/year</t>
        </is>
      </c>
      <c r="C17" t="n">
        <v>1</v>
      </c>
      <c r="E17" t="inlineStr">
        <is>
          <t>Bronze</t>
        </is>
      </c>
      <c r="F17" t="n">
        <v>8.800000000000001</v>
      </c>
      <c r="H17" t="inlineStr">
        <is>
          <t>Cast Iron</t>
        </is>
      </c>
      <c r="I17" t="inlineStr">
        <is>
          <t>18 months</t>
        </is>
      </c>
      <c r="K17" t="inlineStr">
        <is>
          <t>g/dm²/year</t>
        </is>
      </c>
    </row>
    <row r="18">
      <c r="A18" t="inlineStr">
        <is>
          <t>mass_loss_rate|g/m2/a</t>
        </is>
      </c>
      <c r="B18" t="inlineStr">
        <is>
          <t>g/m²/year</t>
        </is>
      </c>
      <c r="C18" t="n">
        <v>1</v>
      </c>
      <c r="E18" t="inlineStr">
        <is>
          <t>Magnesium</t>
        </is>
      </c>
      <c r="F18" t="n">
        <v>1.74</v>
      </c>
      <c r="H18" t="inlineStr">
        <is>
          <t>Cast steel</t>
        </is>
      </c>
      <c r="I18" t="inlineStr">
        <is>
          <t>17 years</t>
        </is>
      </c>
      <c r="K18" t="inlineStr">
        <is>
          <t>mg/cm²/day</t>
        </is>
      </c>
    </row>
    <row r="19">
      <c r="A19" t="inlineStr">
        <is>
          <t>mass_loss_rate|g/m2.a</t>
        </is>
      </c>
      <c r="B19" t="inlineStr">
        <is>
          <t>g/m²/year</t>
        </is>
      </c>
      <c r="C19" t="n">
        <v>1</v>
      </c>
      <c r="H19" t="inlineStr">
        <is>
          <t>Chromium steel</t>
        </is>
      </c>
      <c r="I19" t="inlineStr">
        <is>
          <t>23 years</t>
        </is>
      </c>
      <c r="K19" t="inlineStr">
        <is>
          <t>µm</t>
        </is>
      </c>
    </row>
    <row r="20">
      <c r="A20" t="inlineStr">
        <is>
          <t>mass_loss_rate|mg/m²/day</t>
        </is>
      </c>
      <c r="B20" t="inlineStr">
        <is>
          <t>g/m²/year</t>
        </is>
      </c>
      <c r="C20" t="n">
        <v>0.365</v>
      </c>
      <c r="H20" t="inlineStr">
        <is>
          <t>Coated aluminum</t>
        </is>
      </c>
      <c r="I20" t="inlineStr">
        <is>
          <t>18 years</t>
        </is>
      </c>
      <c r="K20" t="inlineStr">
        <is>
          <t>mm</t>
        </is>
      </c>
    </row>
    <row r="21">
      <c r="A21" t="inlineStr">
        <is>
          <t>mass_loss_rate|mg/dm²/day</t>
        </is>
      </c>
      <c r="B21" t="inlineStr">
        <is>
          <t>g/m²/year</t>
        </is>
      </c>
      <c r="C21" t="n">
        <v>36.5</v>
      </c>
      <c r="H21" t="inlineStr">
        <is>
          <t>Coated steel</t>
        </is>
      </c>
      <c r="I21" t="inlineStr">
        <is>
          <t>13 years</t>
        </is>
      </c>
      <c r="K21" t="inlineStr">
        <is>
          <t>mil</t>
        </is>
      </c>
    </row>
    <row r="22">
      <c r="A22" t="inlineStr">
        <is>
          <t>mass_loss_rate|g/dm²/month</t>
        </is>
      </c>
      <c r="B22" t="inlineStr">
        <is>
          <t>g/m²/year</t>
        </is>
      </c>
      <c r="C22" t="n">
        <v>1200</v>
      </c>
      <c r="H22" t="inlineStr">
        <is>
          <t>Coated zinc</t>
        </is>
      </c>
      <c r="I22" t="inlineStr">
        <is>
          <t>15 years</t>
        </is>
      </c>
      <c r="K22" t="inlineStr">
        <is>
          <t>g/m²</t>
        </is>
      </c>
    </row>
    <row r="23">
      <c r="A23" t="inlineStr">
        <is>
          <t>mass_loss_rate|g/dm²/year</t>
        </is>
      </c>
      <c r="B23" t="inlineStr">
        <is>
          <t>g/m²/year</t>
        </is>
      </c>
      <c r="C23" t="n">
        <v>100</v>
      </c>
      <c r="H23" t="inlineStr">
        <is>
          <t>Copper steel</t>
        </is>
      </c>
      <c r="I23" t="inlineStr">
        <is>
          <t>6 years</t>
        </is>
      </c>
      <c r="K23" t="inlineStr">
        <is>
          <t>mg/m²</t>
        </is>
      </c>
    </row>
    <row r="24">
      <c r="A24" t="inlineStr">
        <is>
          <t>mass_loss_rate|mg/cm²/day</t>
        </is>
      </c>
      <c r="B24" t="inlineStr">
        <is>
          <t>g/m²/year</t>
        </is>
      </c>
      <c r="C24" t="n">
        <v>3650</v>
      </c>
      <c r="H24" t="inlineStr">
        <is>
          <t>E24 alloy steel</t>
        </is>
      </c>
      <c r="I24" t="inlineStr">
        <is>
          <t>21 years</t>
        </is>
      </c>
      <c r="K24" t="inlineStr">
        <is>
          <t>g/dm²</t>
        </is>
      </c>
    </row>
    <row r="25">
      <c r="A25" t="inlineStr">
        <is>
          <t>cumulative_penetration|µm</t>
        </is>
      </c>
      <c r="B25" t="inlineStr">
        <is>
          <t>µm</t>
        </is>
      </c>
      <c r="C25" t="n">
        <v>1</v>
      </c>
      <c r="H25" t="inlineStr">
        <is>
          <t>Gray cast iron</t>
        </is>
      </c>
      <c r="I25" t="inlineStr">
        <is>
          <t>9 months</t>
        </is>
      </c>
      <c r="K25" t="inlineStr">
        <is>
          <t>mg/dm²</t>
        </is>
      </c>
    </row>
    <row r="26">
      <c r="A26" t="inlineStr">
        <is>
          <t>cumulative_penetration|mm</t>
        </is>
      </c>
      <c r="B26" t="inlineStr">
        <is>
          <t>µm</t>
        </is>
      </c>
      <c r="C26" t="n">
        <v>1000</v>
      </c>
      <c r="H26" t="inlineStr">
        <is>
          <t>Hot-dip galvanized steel</t>
        </is>
      </c>
      <c r="I26" t="inlineStr">
        <is>
          <t>12 years</t>
        </is>
      </c>
      <c r="K26" t="inlineStr">
        <is>
          <t>g/cm²</t>
        </is>
      </c>
    </row>
    <row r="27">
      <c r="A27" t="inlineStr">
        <is>
          <t>cumulative_penetration|mil</t>
        </is>
      </c>
      <c r="B27" t="inlineStr">
        <is>
          <t>µm</t>
        </is>
      </c>
      <c r="C27" t="n">
        <v>25.4</v>
      </c>
      <c r="H27" t="inlineStr">
        <is>
          <t>Ingot iron</t>
        </is>
      </c>
      <c r="I27" t="inlineStr">
        <is>
          <t>1-7 years</t>
        </is>
      </c>
      <c r="K27" t="inlineStr">
        <is>
          <t>mg/cm²</t>
        </is>
      </c>
    </row>
    <row r="28">
      <c r="A28" t="inlineStr">
        <is>
          <t>maximum_pit_depth|µm</t>
        </is>
      </c>
      <c r="B28" t="inlineStr">
        <is>
          <t>µm</t>
        </is>
      </c>
      <c r="C28" t="n">
        <v>1</v>
      </c>
      <c r="H28" t="inlineStr">
        <is>
          <t>Lead-coated steel</t>
        </is>
      </c>
      <c r="I28" t="inlineStr">
        <is>
          <t>Extended up to 28 years</t>
        </is>
      </c>
      <c r="K28" t="inlineStr">
        <is>
          <t>%</t>
        </is>
      </c>
    </row>
    <row r="29">
      <c r="A29" t="inlineStr">
        <is>
          <t>maximum_pit_depth|mm</t>
        </is>
      </c>
      <c r="B29" t="inlineStr">
        <is>
          <t>µm</t>
        </is>
      </c>
      <c r="C29" t="n">
        <v>1000</v>
      </c>
      <c r="H29" t="inlineStr">
        <is>
          <t>Low-alloy steel</t>
        </is>
      </c>
      <c r="I29" t="inlineStr">
        <is>
          <t>Annually</t>
        </is>
      </c>
      <c r="K29" t="inlineStr">
        <is>
          <t>index</t>
        </is>
      </c>
    </row>
    <row r="30">
      <c r="A30" t="inlineStr">
        <is>
          <t>maximum_pit_depth|mil</t>
        </is>
      </c>
      <c r="B30" t="inlineStr">
        <is>
          <t>µm</t>
        </is>
      </c>
      <c r="C30" t="n">
        <v>25.4</v>
      </c>
      <c r="H30" t="inlineStr">
        <is>
          <t>Magnesium alloy</t>
        </is>
      </c>
      <c r="I30" t="inlineStr">
        <is>
          <t>1-year periods</t>
        </is>
      </c>
    </row>
    <row r="31">
      <c r="A31" t="inlineStr">
        <is>
          <t>cumulative_mass_loss|g/m²</t>
        </is>
      </c>
      <c r="B31" t="inlineStr">
        <is>
          <t>g/m²</t>
        </is>
      </c>
      <c r="C31" t="n">
        <v>1</v>
      </c>
      <c r="H31" t="inlineStr">
        <is>
          <t>Mild steel</t>
        </is>
      </c>
      <c r="I31" t="inlineStr">
        <is>
          <t>varies</t>
        </is>
      </c>
    </row>
    <row r="32">
      <c r="A32" t="inlineStr">
        <is>
          <t>cumulative_mass_loss|mg/m²</t>
        </is>
      </c>
      <c r="B32" t="inlineStr">
        <is>
          <t>g/m²</t>
        </is>
      </c>
      <c r="C32" t="n">
        <v>0.001</v>
      </c>
      <c r="H32" t="inlineStr">
        <is>
          <t>Nickel steel</t>
        </is>
      </c>
      <c r="I32" t="inlineStr">
        <is>
          <t>1980-2026</t>
        </is>
      </c>
    </row>
    <row r="33">
      <c r="A33" t="inlineStr">
        <is>
          <t>cumulative_mass_loss|g/dm²</t>
        </is>
      </c>
      <c r="B33" t="inlineStr">
        <is>
          <t>g/m²</t>
        </is>
      </c>
      <c r="C33" t="n">
        <v>100</v>
      </c>
      <c r="H33" t="inlineStr">
        <is>
          <t>Open-hearth Iron</t>
        </is>
      </c>
      <c r="I33" t="inlineStr">
        <is>
          <t>1997-2001 (1</t>
        </is>
      </c>
    </row>
    <row r="34">
      <c r="A34" t="inlineStr">
        <is>
          <t>cumulative_mass_loss|mg/dm²</t>
        </is>
      </c>
      <c r="B34" t="inlineStr">
        <is>
          <t>g/m²</t>
        </is>
      </c>
      <c r="C34" t="n">
        <v>0.1</v>
      </c>
      <c r="H34" t="inlineStr">
        <is>
          <t>Stainless Steel</t>
        </is>
      </c>
      <c r="I34" t="inlineStr">
        <is>
          <t>2</t>
        </is>
      </c>
    </row>
    <row r="35">
      <c r="A35" t="inlineStr">
        <is>
          <t>cumulative_mass_loss|g/cm²</t>
        </is>
      </c>
      <c r="B35" t="inlineStr">
        <is>
          <t>g/m²</t>
        </is>
      </c>
      <c r="C35" t="n">
        <v>10000</v>
      </c>
      <c r="H35" t="inlineStr">
        <is>
          <t>Steel alloys</t>
        </is>
      </c>
      <c r="I35" t="inlineStr">
        <is>
          <t>4 years multipollutant)</t>
        </is>
      </c>
    </row>
    <row r="36">
      <c r="A36" t="inlineStr">
        <is>
          <t>cumulative_mass_loss|mg/cm²</t>
        </is>
      </c>
      <c r="B36" t="inlineStr">
        <is>
          <t>g/m²</t>
        </is>
      </c>
      <c r="C36" t="n">
        <v>10</v>
      </c>
      <c r="H36" t="inlineStr">
        <is>
          <t>Structural steel</t>
        </is>
      </c>
      <c r="I36" t="inlineStr">
        <is>
          <t>2005-06 (1-year multipollutant)</t>
        </is>
      </c>
    </row>
    <row r="37">
      <c r="A37" t="inlineStr">
        <is>
          <t>net_mass_change|g/m²</t>
        </is>
      </c>
      <c r="B37" t="inlineStr">
        <is>
          <t>g/m²</t>
        </is>
      </c>
      <c r="C37" t="n">
        <v>1</v>
      </c>
      <c r="H37" t="inlineStr">
        <is>
          <t>Titanium</t>
        </is>
      </c>
      <c r="I37" t="inlineStr">
        <is>
          <t>2008-09 (1-year trend exposure)</t>
        </is>
      </c>
    </row>
    <row r="38">
      <c r="A38" t="inlineStr">
        <is>
          <t>net_mass_change|mg/m²</t>
        </is>
      </c>
      <c r="B38" t="inlineStr">
        <is>
          <t>g/m²</t>
        </is>
      </c>
      <c r="C38" t="n">
        <v>0.001</v>
      </c>
      <c r="H38" t="inlineStr">
        <is>
          <t>Wrought iron</t>
        </is>
      </c>
      <c r="I38" t="inlineStr">
        <is>
          <t>2011-12 (1-year trend exposure)</t>
        </is>
      </c>
    </row>
    <row r="39">
      <c r="A39" t="inlineStr">
        <is>
          <t>net_mass_change|g/dm²</t>
        </is>
      </c>
      <c r="B39" t="inlineStr">
        <is>
          <t>g/m²</t>
        </is>
      </c>
      <c r="C39" t="n">
        <v>100</v>
      </c>
      <c r="H39" t="inlineStr">
        <is>
          <t>Zinc alloy</t>
        </is>
      </c>
      <c r="I39" t="inlineStr">
        <is>
          <t>1-4 years</t>
        </is>
      </c>
    </row>
    <row r="40">
      <c r="A40" t="inlineStr">
        <is>
          <t>net_mass_change|mg/dm²</t>
        </is>
      </c>
      <c r="B40" t="inlineStr">
        <is>
          <t>g/m²</t>
        </is>
      </c>
      <c r="C40" t="n">
        <v>0.1</v>
      </c>
      <c r="H40" t="inlineStr">
        <is>
          <t>Zinc-coated steel</t>
        </is>
      </c>
      <c r="I40" t="inlineStr">
        <is>
          <t>1-2 years</t>
        </is>
      </c>
    </row>
    <row r="41">
      <c r="A41" t="inlineStr">
        <is>
          <t>net_mass_change|g/cm²</t>
        </is>
      </c>
      <c r="B41" t="inlineStr">
        <is>
          <t>g/m²</t>
        </is>
      </c>
      <c r="C41" t="n">
        <v>10000</v>
      </c>
      <c r="H41" t="inlineStr">
        <is>
          <t>Zinc-sprayed steel</t>
        </is>
      </c>
      <c r="I41" t="inlineStr">
        <is>
          <t>1 month - 23 years</t>
        </is>
      </c>
    </row>
    <row r="42">
      <c r="A42" t="inlineStr">
        <is>
          <t>net_mass_change|mg/cm²</t>
        </is>
      </c>
      <c r="B42" t="inlineStr">
        <is>
          <t>g/m²</t>
        </is>
      </c>
      <c r="C42" t="n">
        <v>10</v>
      </c>
      <c r="H42" t="inlineStr">
        <is>
          <t>Zn-Al coated steel</t>
        </is>
      </c>
      <c r="I42" t="inlineStr">
        <is>
          <t>2 months</t>
        </is>
      </c>
    </row>
    <row r="43">
      <c r="A43" t="inlineStr">
        <is>
          <t>MCI|%</t>
        </is>
      </c>
      <c r="B43" t="inlineStr">
        <is>
          <t>%</t>
        </is>
      </c>
      <c r="C43" t="n">
        <v>1</v>
      </c>
      <c r="H43" t="inlineStr">
        <is>
          <t>Cadmium</t>
        </is>
      </c>
      <c r="I43" t="inlineStr">
        <is>
          <t>8 months</t>
        </is>
      </c>
    </row>
    <row r="44">
      <c r="A44" t="inlineStr">
        <is>
          <t>MCI|index</t>
        </is>
      </c>
      <c r="B44" t="inlineStr">
        <is>
          <t>index</t>
        </is>
      </c>
      <c r="C44" t="n">
        <v>1</v>
      </c>
      <c r="H44" t="inlineStr">
        <is>
          <t>Electrical steel</t>
        </is>
      </c>
      <c r="I44" t="inlineStr">
        <is>
          <t>12 months</t>
        </is>
      </c>
    </row>
    <row r="45">
      <c r="A45" t="inlineStr">
        <is>
          <t>Al-ACI|%</t>
        </is>
      </c>
      <c r="B45" t="inlineStr">
        <is>
          <t>%</t>
        </is>
      </c>
      <c r="C45" t="n">
        <v>1</v>
      </c>
      <c r="H45" t="inlineStr">
        <is>
          <t>Iron</t>
        </is>
      </c>
      <c r="I45" t="inlineStr">
        <is>
          <t>5 months</t>
        </is>
      </c>
    </row>
    <row r="46">
      <c r="A46" t="inlineStr">
        <is>
          <t>Al-ACI|index</t>
        </is>
      </c>
      <c r="B46" t="inlineStr">
        <is>
          <t>index</t>
        </is>
      </c>
      <c r="C46" t="n">
        <v>1</v>
      </c>
      <c r="H46" t="inlineStr">
        <is>
          <t>Steel St3</t>
        </is>
      </c>
      <c r="I46" t="inlineStr">
        <is>
          <t>38 months</t>
        </is>
      </c>
    </row>
    <row r="47">
      <c r="A47" t="inlineStr">
        <is>
          <t>ICI|%</t>
        </is>
      </c>
      <c r="B47" t="inlineStr">
        <is>
          <t>%</t>
        </is>
      </c>
      <c r="C47" t="n">
        <v>1</v>
      </c>
      <c r="H47" t="inlineStr">
        <is>
          <t>limestone</t>
        </is>
      </c>
    </row>
    <row r="48">
      <c r="A48" t="inlineStr">
        <is>
          <t>ICI|index</t>
        </is>
      </c>
      <c r="B48" t="inlineStr">
        <is>
          <t>index</t>
        </is>
      </c>
      <c r="C48" t="n">
        <v>1</v>
      </c>
      <c r="H48" t="inlineStr">
        <is>
          <t>modern glass</t>
        </is>
      </c>
    </row>
    <row r="49">
      <c r="H49" t="inlineStr">
        <is>
          <t>Aluminum alloys</t>
        </is>
      </c>
    </row>
    <row r="50">
      <c r="H50" t="inlineStr">
        <is>
          <t>Copper-bearing steel</t>
        </is>
      </c>
    </row>
    <row r="51">
      <c r="H51" t="inlineStr">
        <is>
          <t>Aluminum</t>
        </is>
      </c>
    </row>
    <row r="52">
      <c r="H52" t="inlineStr">
        <is>
          <t>Magnesium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Khant Swe</dc:creator>
  <dcterms:created xsi:type="dcterms:W3CDTF">2026-08-20T08:46:43Z</dcterms:created>
  <dcterms:modified xsi:type="dcterms:W3CDTF">2026-08-29T09:41:00Z</dcterms:modified>
  <cp:lastModifiedBy>Khant Swe</cp:lastModifiedBy>
</cp:coreProperties>
</file>